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  <extLst>
    <ext uri="GoogleSheetsCustomDataVersion2">
      <go:sheetsCustomData xmlns:go="http://customooxmlschemas.google.com/" r:id="rId5" roundtripDataChecksum="qKJxiC+UaPfuhfduOHpQlhMfIa+JXl6Pbm5x4y7f5e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3">
      <text>
        <t xml:space="preserve">======
ID#AAABtrxyZvQ
Darryl Matthew Esguerra    (2025-11-11 06:07:44)
As you can see here the 6th parameter is still $D$2 which is the start row but that is automatically done because of the row stretch thing</t>
      </text>
    </comment>
    <comment authorId="0" ref="E2">
      <text>
        <t xml:space="preserve">======
ID#AAABtrxyZvM
Darryl Matthew Esguerra    (2025-11-11 05:45:23)
FOR EVERY START OF SENTENCE SET: Change $E$2 in 2nd parameter to $E$[start row]
After that, just simply "stretch" this cell down until it hits the last token
SEE E17 FOR EXAMPLE</t>
      </text>
    </comment>
    <comment authorId="0" ref="D2">
      <text>
        <t xml:space="preserve">======
ID#AAABtrxyZvI
Darryl Matthew Esguerra    (2025-11-11 05:44:20)
FOR EVERY START OF SENTENCE SET: Change $D$2 in 6th parameter to $D$[start row]
After that, just simply "stretch" this cell down until it hits the last token
SEE D17 FOR EXAMPLE</t>
      </text>
    </comment>
  </commentList>
  <extLst>
    <ext uri="GoogleSheetsCustomDataVersion2">
      <go:sheetsCustomData xmlns:go="http://customooxmlschemas.google.com/" r:id="rId1" roundtripDataSignature="AMtx7mjmfiRH7gKGmqz2DYHUEcDk2kyhmQ=="/>
    </ext>
  </extLst>
</comments>
</file>

<file path=xl/sharedStrings.xml><?xml version="1.0" encoding="utf-8"?>
<sst xmlns="http://schemas.openxmlformats.org/spreadsheetml/2006/main" count="5608" uniqueCount="57">
  <si>
    <t>T</t>
  </si>
  <si>
    <t>sentence_id</t>
  </si>
  <si>
    <t>sentence</t>
  </si>
  <si>
    <t>context</t>
  </si>
  <si>
    <t>word</t>
  </si>
  <si>
    <t>label</t>
  </si>
  <si>
    <t>special_tags</t>
  </si>
  <si>
    <t>is_correct</t>
  </si>
  <si>
    <t>corrected_label</t>
  </si>
  <si>
    <t>corrected_special_tags</t>
  </si>
  <si>
    <t>is_dirty</t>
  </si>
  <si>
    <t>notes</t>
  </si>
  <si>
    <t>Hayyy imbes na puro tungkol sa proyekto ang mapansin , ang atensyon ng mga netizen ay napunta sa bagong font style na ginamit nya .</t>
  </si>
  <si>
    <t>UNK</t>
  </si>
  <si>
    <t>EXPR</t>
  </si>
  <si>
    <t>F</t>
  </si>
  <si>
    <t>FIL</t>
  </si>
  <si>
    <t>SYM</t>
  </si>
  <si>
    <t>ENG</t>
  </si>
  <si>
    <t>ABB</t>
  </si>
  <si>
    <t>Kapag malapit na ang december pagpaplanuhin ko na kung ano ang mga gifts na ibibigay ko sa office ng mga software devs ng tatay ko .</t>
  </si>
  <si>
    <t>Hello , binasa ko ung buong document and its pretty good na pero meron akong concern sa conclusion , kasi kung no new references maayos naman yun but kung maraming in-text citations di na ko sure hehe .</t>
  </si>
  <si>
    <t>Pa-last check nalang ng paper @ everyone dhil inayos ko na ung format . React to the message above kapag oks na siya at pwede na siyang i-submit</t>
  </si>
  <si>
    <t>CS</t>
  </si>
  <si>
    <t>Ang simpleng tanong ay agad na nag-viral , na may mahigit 45 , 000 laugh reactions at halos 900 komento mula sa mga amused followers . Marami ang nagbigay ng tips , habang ang iba namay umaming gusto rin nilang matutunan ang trick na iyon .</t>
  </si>
  <si>
    <t>NUM</t>
  </si>
  <si>
    <t>knina po ksi may isa pa pero nung cnabi ko tatagal kmi dumating ung pangalawang barbero tapos ayun nagpahaircut na kmi nang sabay</t>
  </si>
  <si>
    <t>2 carts nalang po , isinascan na po ung isa ksi andaming open cashier . . . ung Hagen Daaz po pakuha na rin thank u ay cashier 15 nga po pla kmi</t>
  </si>
  <si>
    <t>NE</t>
  </si>
  <si>
    <t>kamusta mga kaibigan lmk nalang if youre done dto sa document so ill be able to pass it nalangg</t>
  </si>
  <si>
    <t>Sa viral clip , makikitang parehong walang suot na seatbelt ang mag-ama habang hinahayaang kontrolin ng bata ang manibela . Ayon sa LTO , malinaw itong paglabag sa mga batas trapiko kabilang ang reckless driving , failure to wear a seatbelt , at allowing a child to sit sa kanilang front seat .</t>
  </si>
  <si>
    <t>ABB_NE</t>
  </si>
  <si>
    <t>yung gaf magmemeeting tayo para dun , real quick lang to view the grades and adjustments kaso bukas pa dahil wala pang grade yung phase 3</t>
  </si>
  <si>
    <t>sa practice na ba tayo magcoconceptualize mismo ng dance steps ? kung tinapos na natin yung song then we'll playy , wait diba gagawin lang natin yung huling routine ? masyado akong nadala sa pvz HAHSDHA</t>
  </si>
  <si>
    <t>how are you guys gon train for this , do u reckon we can borrow rope from PE dept ? since madami naman tao dito , some can train with the other members na mag rerep sa tug of war para ready : &gt;</t>
  </si>
  <si>
    <t>Ayon sa mga ulat , tumakas ang driver matapos mabangga ang isang pedestrian . Muling iginiit ng ahensya na walang puwang sa kalsada ang mga iresponsableng motorista at ipatutupad ang batas sa lahat ng pagkakataon .</t>
  </si>
  <si>
    <t>ooooh busy ka ba sobra ? let us know para makaarrange tayo kahit quick sesh lang , we miss u brotha</t>
  </si>
  <si>
    <t>Tandaan mo walang ulan na hindi humuhupa at ang araw kahit kailan hindi mo mapipigilan sa pagsikat . Ganyan din sa problema , lilipas yan at makakamit mo ang ligaya , BRO .</t>
  </si>
  <si>
    <t>Posted na sa Canvas ang inyong pinal na grado . Kalakip ang pagbati sa mga nangunang mag-aaral sa LCFILIA ngayong termino , gayundin ang PDF na naglalaman ng ilang mahahalagang pabatid ukol sa inyong grado at sa ating early GCD na magaganap MAMAYA , 4 : 00 - 4 : 30 PM . PAKIBASA ang mga ito . Kung may concern kayo sa grade ninyo o hindi naipasang requirement , pumunta kayo sa GCD .</t>
  </si>
  <si>
    <t>Kaya nagdesisyon kami dahil holiday na rin naman , towards the end of October , at the same time dahil matindi rin ang pangamba ng mga magulang lalo na matataas din ang building , mga school buildings dito sa amin , nagdesisyon na kami . Preemptive kumbaga nakakatakot na may mangyari ang mga bata ay nasa eskwelahan kapag lumindol at base sa resulta ng konsultasyon mas minabuti namin na suspendihin ang face-to-face classes .</t>
  </si>
  <si>
    <t>Hello po Hiraya ! Kami ang Group 2 ng Einstein at kung meron po kayong spare time para sagutan yung form namin para sa Mini Research namen about sa Geometric Sequence , sagutin niyo na plz . Kung nasobrahan nmn kau sa kabaitan paki-share na din po sa ibaa . Thank youuu ! Nawa'y ang lahat ng sumagot yumaman</t>
  </si>
  <si>
    <t>Guys may basketball ba kayo ? Hindi pwede humiram sa school e , If ever magbadminton nalang kayo kung puno na yung court</t>
  </si>
  <si>
    <t>Just wanna ask on how enlistment is going for all of you ? Lahat ba nakakuha ng desired scheds nila ? Profs ? Nagkaroon ba kayo ng problems ? Feel free to chat para ma-address salamat much</t>
  </si>
  <si>
    <t>parang tatlo lang po yata yung promo namin sa Shake , Rattle &amp; Roll . pigyan niyo po akong trabaho , please . yes ! please po , more work . wala na pong pangkain yung aking mga aso . wala na pong pambayad ng tax ko next week . P364 , 000 po ang aking ano , hindi ko po alam kung saan pupulutin iyong aking pambayad sa tax ,</t>
  </si>
  <si>
    <t>FIL -&gt; UNK because typo</t>
  </si>
  <si>
    <t>not sure about this</t>
  </si>
  <si>
    <t>halu madlang people if ever available po kau hehe . punta kau sunday 1 pm amphi concert itu tnx a lot</t>
  </si>
  <si>
    <t>meron po ! ! ! bili ka po maam roussballs onigiring hindi masakit sa bulsa nyaaaah sobrang sarap pati wallet mo maam langhap sarap</t>
  </si>
  <si>
    <t>gud pm . na appreciate ko ung ginawa nyo sa akin muna dumaan . inakyat ko na sa chairman . sila na bahala . and2 lang ako . . suportahan ko kayo kc alam ko may basis naman , pero sana habang gumagawa kami ng way , kung kaya iwasan . . please . . . avoid posting anything against someone , plagi kong bilin sa inyo , mag ingat at mag isip muna bago mag tweet para walang pagsisisihan sa huli .</t>
  </si>
  <si>
    <t>sa lahat ng mga manghuhula nagsabing malapit na kong mamatay or yung mga nagbalita na patay na ko alam ko you need to make money , but this is a cheap way to do it ,</t>
  </si>
  <si>
    <t>hello po ma'am @ Jhen , ito po excel sheet ng LRN information . sinagutan din po ulit namin yung gforms po dati para po sure . thank you po !</t>
  </si>
  <si>
    <t>hi class ! sana nakita niyo na lumabas na ang grades ninyo . congratulations , all of you in this section passed MTH101A ! thank you for all your hard works and for showing interest to learn from my class . Good luck on your DLSU journey . Sana magtagal kayo lahat sa Lasalle ! magkikita uli tayo , guys !</t>
  </si>
  <si>
    <t>I already changed the Midterm Exam total to 75 . so yung mga sobra sa 75 , I recorded it as 75 lang . over 45 points ang quiz 3 . hindi ko pala na-set yung total score to 45 points class . wag nyo i-assume na over 0 kasi magiging infinity ang grades nyo . ano kayo , si Lord na omniscient ? ! ?</t>
  </si>
  <si>
    <t>isa sa mga nagkomento ang nagsabing , " So true . including pa nga underwear , " habang isa pa ang nagbiro ng " yeah , my free aircon . " ngunit ang pinakanagpasaya sa lahat ay ang comment ng isang netizen na nagsabing , " uyy kala ko kami lang gumagawa niyan , pati pala artista . " game na game naman ang aktres sa kanyang sagot : " oo naman , sarap pantulog ! "</t>
  </si>
  <si>
    <t>baka pwede pang lakasan ung volume dun sa scene na naguusap c Dom at c Kif , like maybe ung background music din pwedeng dagdagan , like for example dun sa interview kahit calm music ( lofi ? ) , then dun sa convo nila Dom may quiet melancholic piano music tas dun sa call for action pwedeng ituloy ung bgm before that then hinaan nlng</t>
  </si>
  <si>
    <t>yo Ben gusto mo magassign na para sa presentation para bukas practice agad ? ang panget ng sched natin this week huhu bukas hands on tas sa thursday , presentation tas sa friday , quiz sa math , rushed lhat kasi puro suspension tsaka may ilw pa</t>
  </si>
  <si>
    <t>hi guyss ! can you please check kung nag-update na ulet yung submission for GPEs 3 &amp; 4 ? pina-follow up ko kasi since di pa inupdate and also nagkaroon ng correction sa submission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</si>
</sst>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8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</fills>
  <borders count="8">
    <border/>
    <border>
      <bottom style="thin">
        <color rgb="FF000000"/>
      </bottom>
    </border>
    <border>
      <right/>
      <top/>
      <bottom/>
    </border>
    <border>
      <left/>
      <right/>
      <top/>
      <bottom/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right/>
      <bottom/>
    </border>
    <border>
      <left/>
      <right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1" fillId="0" fontId="1" numFmtId="0" xfId="0" applyBorder="1" applyFont="1"/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shrinkToFit="0" wrapText="1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readingOrder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2" numFmtId="0" xfId="0" applyAlignment="1" applyFont="1">
      <alignment readingOrder="0" shrinkToFit="0" wrapText="1"/>
    </xf>
    <xf borderId="0" fillId="2" fontId="3" numFmtId="0" xfId="0" applyAlignment="1" applyFont="1">
      <alignment shrinkToFit="0" wrapText="1"/>
    </xf>
    <xf borderId="0" fillId="2" fontId="1" numFmtId="0" xfId="0" applyAlignment="1" applyFont="1">
      <alignment horizontal="left"/>
    </xf>
    <xf borderId="2" fillId="2" fontId="3" numFmtId="0" xfId="0" applyBorder="1" applyFont="1"/>
    <xf borderId="3" fillId="2" fontId="3" numFmtId="0" xfId="0" applyBorder="1" applyFont="1"/>
    <xf borderId="3" fillId="2" fontId="3" numFmtId="0" xfId="0" applyAlignment="1" applyBorder="1" applyFont="1">
      <alignment readingOrder="0"/>
    </xf>
    <xf borderId="1" fillId="2" fontId="1" numFmtId="0" xfId="0" applyBorder="1" applyFont="1"/>
    <xf borderId="1" fillId="2" fontId="1" numFmtId="0" xfId="0" applyAlignment="1" applyBorder="1" applyFont="1">
      <alignment readingOrder="0"/>
    </xf>
    <xf borderId="1" fillId="2" fontId="2" numFmtId="0" xfId="0" applyAlignment="1" applyBorder="1" applyFont="1">
      <alignment readingOrder="0" shrinkToFit="0" wrapText="1"/>
    </xf>
    <xf borderId="1" fillId="2" fontId="3" numFmtId="0" xfId="0" applyAlignment="1" applyBorder="1" applyFont="1">
      <alignment shrinkToFit="0" wrapText="1"/>
    </xf>
    <xf borderId="1" fillId="2" fontId="1" numFmtId="0" xfId="0" applyAlignment="1" applyBorder="1" applyFont="1">
      <alignment horizontal="left"/>
    </xf>
    <xf borderId="4" fillId="2" fontId="3" numFmtId="0" xfId="0" applyBorder="1" applyFont="1"/>
    <xf borderId="5" fillId="2" fontId="3" numFmtId="0" xfId="0" applyBorder="1" applyFont="1"/>
    <xf borderId="5" fillId="2" fontId="3" numFmtId="0" xfId="0" applyAlignment="1" applyBorder="1" applyFont="1">
      <alignment readingOrder="0"/>
    </xf>
    <xf borderId="6" fillId="2" fontId="3" numFmtId="0" xfId="0" applyBorder="1" applyFont="1"/>
    <xf borderId="7" fillId="2" fontId="3" numFmtId="0" xfId="0" applyBorder="1" applyFont="1"/>
    <xf borderId="7" fillId="2" fontId="3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1" fillId="0" fontId="3" numFmtId="0" xfId="0" applyAlignment="1" applyBorder="1" applyFont="1">
      <alignment readingOrder="0"/>
    </xf>
    <xf borderId="1" fillId="0" fontId="3" numFmtId="0" xfId="0" applyBorder="1" applyFont="1"/>
    <xf borderId="0" fillId="2" fontId="3" numFmtId="0" xfId="0" applyAlignment="1" applyFont="1">
      <alignment readingOrder="0"/>
    </xf>
    <xf borderId="0" fillId="2" fontId="3" numFmtId="0" xfId="0" applyFont="1"/>
    <xf borderId="1" fillId="2" fontId="3" numFmtId="0" xfId="0" applyAlignment="1" applyBorder="1" applyFont="1">
      <alignment readingOrder="0"/>
    </xf>
    <xf borderId="1" fillId="2" fontId="3" numFmtId="0" xfId="0" applyBorder="1" applyFont="1"/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left" vertical="bottom"/>
    </xf>
    <xf borderId="1" fillId="0" fontId="3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horizontal="left" vertical="bottom"/>
    </xf>
  </cellXfs>
  <cellStyles count="1">
    <cellStyle xfId="0" name="Normal" builtinId="0"/>
  </cellStyles>
  <dxfs count="12">
    <dxf>
      <font/>
      <fill>
        <patternFill patternType="solid">
          <fgColor rgb="FFA9A9A9"/>
          <bgColor rgb="FFA9A9A9"/>
        </patternFill>
      </fill>
      <border/>
    </dxf>
    <dxf>
      <font/>
      <fill>
        <patternFill patternType="solid">
          <fgColor rgb="FFB4C7E7"/>
          <bgColor rgb="FFB4C7E7"/>
        </patternFill>
      </fill>
      <border/>
    </dxf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  <dxf>
      <font/>
      <fill>
        <patternFill patternType="solid">
          <fgColor rgb="FFF4B084"/>
          <bgColor rgb="FFF4B084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E2EFDA"/>
          <bgColor rgb="FFE2EFDA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DDEBF7"/>
          <bgColor rgb="FFDDEBF7"/>
        </patternFill>
      </fill>
      <border/>
    </dxf>
    <dxf>
      <font/>
      <fill>
        <patternFill patternType="solid">
          <fgColor rgb="FFEDEDED"/>
          <bgColor rgb="FFEDEDED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2" width="11.57"/>
    <col customWidth="1" min="3" max="4" width="50.0"/>
    <col customWidth="1" min="5" max="5" width="25.0"/>
    <col customWidth="1" min="6" max="8" width="15.0"/>
    <col customWidth="1" min="9" max="10" width="20.0"/>
    <col customWidth="1" min="11" max="11" width="10.0"/>
    <col customWidth="1" min="12" max="12" width="30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>
      <c r="A2" s="2">
        <v>1.0</v>
      </c>
      <c r="B2" s="2">
        <v>0.0</v>
      </c>
      <c r="C2" s="4" t="s">
        <v>12</v>
      </c>
      <c r="D2" s="5" t="str">
        <f>IFERROR(__xludf.DUMMYFUNCTION("LET(
  words, TRANSPOSE(SPLIT($C2,"" "")),
  n, ROWS(words),
  i, ROW() - ROW($D$2) + 1,
  window, 5,
  minWin, 3,
  half, INT(window/2),
  start, MAX(1, i - half),
  stop, MIN(n, i + half),
  size, stop - start + 1,
  adjHalf, IF(size &lt; minWin, INT((minW"&amp;"in - size)/2), 0),
  newStart, MAX(1, start - adjHalf),
  newStop, MIN(n, stop + adjHalf),
  positions, SEQUENCE(n),
  wordSlice, FILTER(words, (positions&gt;=newStart)*(positions&lt;=newStop)),
  TEXTJOIN("" "", TRUE, wordSlice)
)"),"Hayyy imbes na")</f>
        <v>Hayyy imbes na</v>
      </c>
      <c r="E2" s="3" t="str">
        <f>IFERROR(__xludf.DUMMYFUNCTION("INDEX(SPLIT($C2,"" ""), ROW()-ROW($E$2)+1)
"),"Hayyy")</f>
        <v>Hayyy</v>
      </c>
      <c r="F2" s="1" t="s">
        <v>13</v>
      </c>
      <c r="G2" s="1" t="s">
        <v>14</v>
      </c>
      <c r="H2" s="1" t="s">
        <v>0</v>
      </c>
      <c r="I2" s="2"/>
      <c r="J2" s="2"/>
      <c r="K2" s="1" t="s">
        <v>15</v>
      </c>
    </row>
    <row r="3">
      <c r="A3" s="2">
        <v>2.0</v>
      </c>
      <c r="B3" s="2">
        <v>0.0</v>
      </c>
      <c r="C3" s="4" t="s">
        <v>12</v>
      </c>
      <c r="D3" s="5" t="str">
        <f>IFERROR(__xludf.DUMMYFUNCTION("LET(
  words, TRANSPOSE(SPLIT($C3,"" "")),
  n, ROWS(words),
  i, ROW() - ROW($D$2) + 1,
  window, 5,
  minWin, 3,
  half, INT(window/2),
  start, MAX(1, i - half),
  stop, MIN(n, i + half),
  size, stop - start + 1,
  adjHalf, IF(size &lt; minWin, INT((minW"&amp;"in - size)/2), 0),
  newStart, MAX(1, start - adjHalf),
  newStop, MIN(n, stop + adjHalf),
  positions, SEQUENCE(n),
  wordSlice, FILTER(words, (positions&gt;=newStart)*(positions&lt;=newStop)),
  TEXTJOIN("" "", TRUE, wordSlice)
)"),"Hayyy imbes na puro")</f>
        <v>Hayyy imbes na puro</v>
      </c>
      <c r="E3" s="3" t="str">
        <f>IFERROR(__xludf.DUMMYFUNCTION("INDEX(SPLIT($C3,"" ""), ROW()-ROW($E$2)+1)
"),"imbes")</f>
        <v>imbes</v>
      </c>
      <c r="F3" s="1" t="s">
        <v>16</v>
      </c>
      <c r="G3" s="2"/>
      <c r="H3" s="1" t="s">
        <v>0</v>
      </c>
      <c r="I3" s="2"/>
      <c r="J3" s="2"/>
      <c r="K3" s="1" t="s">
        <v>15</v>
      </c>
    </row>
    <row r="4">
      <c r="A4" s="2">
        <v>3.0</v>
      </c>
      <c r="B4" s="2">
        <v>0.0</v>
      </c>
      <c r="C4" s="4" t="s">
        <v>12</v>
      </c>
      <c r="D4" s="5" t="str">
        <f>IFERROR(__xludf.DUMMYFUNCTION("LET(
  words, TRANSPOSE(SPLIT($C4,"" "")),
  n, ROWS(words),
  i, ROW() - ROW($D$2) + 1,
  window, 5,
  minWin, 3,
  half, INT(window/2),
  start, MAX(1, i - half),
  stop, MIN(n, i + half),
  size, stop - start + 1,
  adjHalf, IF(size &lt; minWin, INT((minW"&amp;"in - size)/2), 0),
  newStart, MAX(1, start - adjHalf),
  newStop, MIN(n, stop + adjHalf),
  positions, SEQUENCE(n),
  wordSlice, FILTER(words, (positions&gt;=newStart)*(positions&lt;=newStop)),
  TEXTJOIN("" "", TRUE, wordSlice)
)"),"Hayyy imbes na puro tungkol")</f>
        <v>Hayyy imbes na puro tungkol</v>
      </c>
      <c r="E4" s="3" t="str">
        <f>IFERROR(__xludf.DUMMYFUNCTION("INDEX(SPLIT($C4,"" ""), ROW()-ROW($E$2)+1)
"),"na")</f>
        <v>na</v>
      </c>
      <c r="F4" s="1" t="s">
        <v>16</v>
      </c>
      <c r="G4" s="2"/>
      <c r="H4" s="1" t="s">
        <v>0</v>
      </c>
      <c r="I4" s="2"/>
      <c r="J4" s="2"/>
      <c r="K4" s="1" t="s">
        <v>15</v>
      </c>
    </row>
    <row r="5">
      <c r="A5" s="2">
        <v>4.0</v>
      </c>
      <c r="B5" s="2">
        <v>0.0</v>
      </c>
      <c r="C5" s="4" t="s">
        <v>12</v>
      </c>
      <c r="D5" s="5" t="str">
        <f>IFERROR(__xludf.DUMMYFUNCTION("LET(
  words, TRANSPOSE(SPLIT($C5,"" "")),
  n, ROWS(words),
  i, ROW() - ROW($D$2) + 1,
  window, 5,
  minWin, 3,
  half, INT(window/2),
  start, MAX(1, i - half),
  stop, MIN(n, i + half),
  size, stop - start + 1,
  adjHalf, IF(size &lt; minWin, INT((minW"&amp;"in - size)/2), 0),
  newStart, MAX(1, start - adjHalf),
  newStop, MIN(n, stop + adjHalf),
  positions, SEQUENCE(n),
  wordSlice, FILTER(words, (positions&gt;=newStart)*(positions&lt;=newStop)),
  TEXTJOIN("" "", TRUE, wordSlice)
)"),"imbes na puro tungkol sa")</f>
        <v>imbes na puro tungkol sa</v>
      </c>
      <c r="E5" s="3" t="str">
        <f>IFERROR(__xludf.DUMMYFUNCTION("INDEX(SPLIT($C5,"" ""), ROW()-ROW($E$2)+1)
"),"puro")</f>
        <v>puro</v>
      </c>
      <c r="F5" s="1" t="s">
        <v>16</v>
      </c>
      <c r="G5" s="2"/>
      <c r="H5" s="1" t="s">
        <v>0</v>
      </c>
      <c r="I5" s="2"/>
      <c r="J5" s="2"/>
      <c r="K5" s="1" t="s">
        <v>15</v>
      </c>
    </row>
    <row r="6">
      <c r="A6" s="2">
        <v>5.0</v>
      </c>
      <c r="B6" s="2">
        <v>0.0</v>
      </c>
      <c r="C6" s="4" t="s">
        <v>12</v>
      </c>
      <c r="D6" s="5" t="str">
        <f>IFERROR(__xludf.DUMMYFUNCTION("LET(
  words, TRANSPOSE(SPLIT($C6,"" "")),
  n, ROWS(words),
  i, ROW() - ROW($D$2) + 1,
  window, 5,
  minWin, 3,
  half, INT(window/2),
  start, MAX(1, i - half),
  stop, MIN(n, i + half),
  size, stop - start + 1,
  adjHalf, IF(size &lt; minWin, INT((minW"&amp;"in - size)/2), 0),
  newStart, MAX(1, start - adjHalf),
  newStop, MIN(n, stop + adjHalf),
  positions, SEQUENCE(n),
  wordSlice, FILTER(words, (positions&gt;=newStart)*(positions&lt;=newStop)),
  TEXTJOIN("" "", TRUE, wordSlice)
)"),"na puro tungkol sa proyekto")</f>
        <v>na puro tungkol sa proyekto</v>
      </c>
      <c r="E6" s="3" t="str">
        <f>IFERROR(__xludf.DUMMYFUNCTION("INDEX(SPLIT($C6,"" ""), ROW()-ROW($E$2)+1)
"),"tungkol")</f>
        <v>tungkol</v>
      </c>
      <c r="F6" s="1" t="s">
        <v>16</v>
      </c>
      <c r="G6" s="2"/>
      <c r="H6" s="1" t="s">
        <v>0</v>
      </c>
      <c r="I6" s="2"/>
      <c r="J6" s="2"/>
      <c r="K6" s="1" t="s">
        <v>15</v>
      </c>
    </row>
    <row r="7">
      <c r="A7" s="2">
        <v>6.0</v>
      </c>
      <c r="B7" s="2">
        <v>0.0</v>
      </c>
      <c r="C7" s="4" t="s">
        <v>12</v>
      </c>
      <c r="D7" s="5" t="str">
        <f>IFERROR(__xludf.DUMMYFUNCTION("LET(
  words, TRANSPOSE(SPLIT($C7,"" "")),
  n, ROWS(words),
  i, ROW() - ROW($D$2) + 1,
  window, 5,
  minWin, 3,
  half, INT(window/2),
  start, MAX(1, i - half),
  stop, MIN(n, i + half),
  size, stop - start + 1,
  adjHalf, IF(size &lt; minWin, INT((minW"&amp;"in - size)/2), 0),
  newStart, MAX(1, start - adjHalf),
  newStop, MIN(n, stop + adjHalf),
  positions, SEQUENCE(n),
  wordSlice, FILTER(words, (positions&gt;=newStart)*(positions&lt;=newStop)),
  TEXTJOIN("" "", TRUE, wordSlice)
)"),"puro tungkol sa proyekto ang")</f>
        <v>puro tungkol sa proyekto ang</v>
      </c>
      <c r="E7" s="3" t="str">
        <f>IFERROR(__xludf.DUMMYFUNCTION("INDEX(SPLIT($C7,"" ""), ROW()-ROW($E$2)+1)
"),"sa")</f>
        <v>sa</v>
      </c>
      <c r="F7" s="1" t="s">
        <v>16</v>
      </c>
      <c r="G7" s="2"/>
      <c r="H7" s="1" t="s">
        <v>0</v>
      </c>
      <c r="I7" s="2"/>
      <c r="J7" s="2"/>
      <c r="K7" s="1" t="s">
        <v>15</v>
      </c>
    </row>
    <row r="8">
      <c r="A8" s="2">
        <v>7.0</v>
      </c>
      <c r="B8" s="2">
        <v>0.0</v>
      </c>
      <c r="C8" s="4" t="s">
        <v>12</v>
      </c>
      <c r="D8" s="5" t="str">
        <f>IFERROR(__xludf.DUMMYFUNCTION("LET(
  words, TRANSPOSE(SPLIT($C8,"" "")),
  n, ROWS(words),
  i, ROW() - ROW($D$2) + 1,
  window, 5,
  minWin, 3,
  half, INT(window/2),
  start, MAX(1, i - half),
  stop, MIN(n, i + half),
  size, stop - start + 1,
  adjHalf, IF(size &lt; minWin, INT((minW"&amp;"in - size)/2), 0),
  newStart, MAX(1, start - adjHalf),
  newStop, MIN(n, stop + adjHalf),
  positions, SEQUENCE(n),
  wordSlice, FILTER(words, (positions&gt;=newStart)*(positions&lt;=newStop)),
  TEXTJOIN("" "", TRUE, wordSlice)
)"),"tungkol sa proyekto ang mapansin")</f>
        <v>tungkol sa proyekto ang mapansin</v>
      </c>
      <c r="E8" s="3" t="str">
        <f>IFERROR(__xludf.DUMMYFUNCTION("INDEX(SPLIT($C8,"" ""), ROW()-ROW($E$2)+1)
"),"proyekto")</f>
        <v>proyekto</v>
      </c>
      <c r="F8" s="1" t="s">
        <v>16</v>
      </c>
      <c r="G8" s="2"/>
      <c r="H8" s="1" t="s">
        <v>0</v>
      </c>
      <c r="I8" s="2"/>
      <c r="J8" s="2"/>
      <c r="K8" s="1" t="s">
        <v>15</v>
      </c>
    </row>
    <row r="9">
      <c r="A9" s="2">
        <v>8.0</v>
      </c>
      <c r="B9" s="2">
        <v>0.0</v>
      </c>
      <c r="C9" s="4" t="s">
        <v>12</v>
      </c>
      <c r="D9" s="5" t="str">
        <f>IFERROR(__xludf.DUMMYFUNCTION("LET(
  words, TRANSPOSE(SPLIT($C9,"" "")),
  n, ROWS(words),
  i, ROW() - ROW($D$2) + 1,
  window, 5,
  minWin, 3,
  half, INT(window/2),
  start, MAX(1, i - half),
  stop, MIN(n, i + half),
  size, stop - start + 1,
  adjHalf, IF(size &lt; minWin, INT((minW"&amp;"in - size)/2), 0),
  newStart, MAX(1, start - adjHalf),
  newStop, MIN(n, stop + adjHalf),
  positions, SEQUENCE(n),
  wordSlice, FILTER(words, (positions&gt;=newStart)*(positions&lt;=newStop)),
  TEXTJOIN("" "", TRUE, wordSlice)
)"),"sa proyekto ang mapansin ,")</f>
        <v>sa proyekto ang mapansin ,</v>
      </c>
      <c r="E9" s="3" t="str">
        <f>IFERROR(__xludf.DUMMYFUNCTION("INDEX(SPLIT($C9,"" ""), ROW()-ROW($E$2)+1)
"),"ang")</f>
        <v>ang</v>
      </c>
      <c r="F9" s="1" t="s">
        <v>16</v>
      </c>
      <c r="G9" s="2"/>
      <c r="H9" s="1" t="s">
        <v>0</v>
      </c>
      <c r="I9" s="2"/>
      <c r="J9" s="2"/>
      <c r="K9" s="1" t="s">
        <v>15</v>
      </c>
    </row>
    <row r="10">
      <c r="A10" s="2">
        <v>9.0</v>
      </c>
      <c r="B10" s="2">
        <v>0.0</v>
      </c>
      <c r="C10" s="4" t="s">
        <v>12</v>
      </c>
      <c r="D10" s="5" t="str">
        <f>IFERROR(__xludf.DUMMYFUNCTION("LET(
  words, TRANSPOSE(SPLIT($C10,"" "")),
  n, ROWS(words),
  i, ROW() - ROW($D$2) + 1,
  window, 5,
  minWin, 3,
  half, INT(window/2),
  start, MAX(1, i - half),
  stop, MIN(n, i + half),
  size, stop - start + 1,
  adjHalf, IF(size &lt; minWin, INT((min"&amp;"Win - size)/2), 0),
  newStart, MAX(1, start - adjHalf),
  newStop, MIN(n, stop + adjHalf),
  positions, SEQUENCE(n),
  wordSlice, FILTER(words, (positions&gt;=newStart)*(positions&lt;=newStop)),
  TEXTJOIN("" "", TRUE, wordSlice)
)"),"proyekto ang mapansin , ang")</f>
        <v>proyekto ang mapansin , ang</v>
      </c>
      <c r="E10" s="3" t="str">
        <f>IFERROR(__xludf.DUMMYFUNCTION("INDEX(SPLIT($C10,"" ""), ROW()-ROW($E$2)+1)
"),"mapansin")</f>
        <v>mapansin</v>
      </c>
      <c r="F10" s="1" t="s">
        <v>16</v>
      </c>
      <c r="G10" s="2"/>
      <c r="H10" s="1" t="s">
        <v>0</v>
      </c>
      <c r="I10" s="2"/>
      <c r="J10" s="2"/>
      <c r="K10" s="1" t="s">
        <v>15</v>
      </c>
    </row>
    <row r="11">
      <c r="A11" s="2">
        <v>10.0</v>
      </c>
      <c r="B11" s="2">
        <v>0.0</v>
      </c>
      <c r="C11" s="4" t="s">
        <v>12</v>
      </c>
      <c r="D11" s="5" t="str">
        <f>IFERROR(__xludf.DUMMYFUNCTION("LET(
  words, TRANSPOSE(SPLIT($C11,"" "")),
  n, ROWS(words),
  i, ROW() - ROW($D$2) + 1,
  window, 5,
  minWin, 3,
  half, INT(window/2),
  start, MAX(1, i - half),
  stop, MIN(n, i + half),
  size, stop - start + 1,
  adjHalf, IF(size &lt; minWin, INT((min"&amp;"Win - size)/2), 0),
  newStart, MAX(1, start - adjHalf),
  newStop, MIN(n, stop + adjHalf),
  positions, SEQUENCE(n),
  wordSlice, FILTER(words, (positions&gt;=newStart)*(positions&lt;=newStop)),
  TEXTJOIN("" "", TRUE, wordSlice)
)"),"ang mapansin , ang atensyon")</f>
        <v>ang mapansin , ang atensyon</v>
      </c>
      <c r="E11" s="3" t="str">
        <f>IFERROR(__xludf.DUMMYFUNCTION("INDEX(SPLIT($C11,"" ""), ROW()-ROW($E$2)+1)
"),",")</f>
        <v>,</v>
      </c>
      <c r="F11" s="1" t="s">
        <v>17</v>
      </c>
      <c r="G11" s="2"/>
      <c r="H11" s="1" t="s">
        <v>0</v>
      </c>
      <c r="I11" s="2"/>
      <c r="J11" s="2"/>
      <c r="K11" s="1" t="s">
        <v>15</v>
      </c>
    </row>
    <row r="12">
      <c r="A12" s="2">
        <v>11.0</v>
      </c>
      <c r="B12" s="2">
        <v>0.0</v>
      </c>
      <c r="C12" s="4" t="s">
        <v>12</v>
      </c>
      <c r="D12" s="5" t="str">
        <f>IFERROR(__xludf.DUMMYFUNCTION("LET(
  words, TRANSPOSE(SPLIT($C12,"" "")),
  n, ROWS(words),
  i, ROW() - ROW($D$2) + 1,
  window, 5,
  minWin, 3,
  half, INT(window/2),
  start, MAX(1, i - half),
  stop, MIN(n, i + half),
  size, stop - start + 1,
  adjHalf, IF(size &lt; minWin, INT((min"&amp;"Win - size)/2), 0),
  newStart, MAX(1, start - adjHalf),
  newStop, MIN(n, stop + adjHalf),
  positions, SEQUENCE(n),
  wordSlice, FILTER(words, (positions&gt;=newStart)*(positions&lt;=newStop)),
  TEXTJOIN("" "", TRUE, wordSlice)
)"),"mapansin , ang atensyon ng")</f>
        <v>mapansin , ang atensyon ng</v>
      </c>
      <c r="E12" s="3" t="str">
        <f>IFERROR(__xludf.DUMMYFUNCTION("INDEX(SPLIT($C12,"" ""), ROW()-ROW($E$2)+1)
"),"ang")</f>
        <v>ang</v>
      </c>
      <c r="F12" s="1" t="s">
        <v>16</v>
      </c>
      <c r="G12" s="2"/>
      <c r="H12" s="1" t="s">
        <v>0</v>
      </c>
      <c r="I12" s="2"/>
      <c r="J12" s="2"/>
      <c r="K12" s="1" t="s">
        <v>15</v>
      </c>
    </row>
    <row r="13">
      <c r="A13" s="2">
        <v>12.0</v>
      </c>
      <c r="B13" s="2">
        <v>0.0</v>
      </c>
      <c r="C13" s="4" t="s">
        <v>12</v>
      </c>
      <c r="D13" s="5" t="str">
        <f>IFERROR(__xludf.DUMMYFUNCTION("LET(
  words, TRANSPOSE(SPLIT($C13,"" "")),
  n, ROWS(words),
  i, ROW() - ROW($D$2) + 1,
  window, 5,
  minWin, 3,
  half, INT(window/2),
  start, MAX(1, i - half),
  stop, MIN(n, i + half),
  size, stop - start + 1,
  adjHalf, IF(size &lt; minWin, INT((min"&amp;"Win - size)/2), 0),
  newStart, MAX(1, start - adjHalf),
  newStop, MIN(n, stop + adjHalf),
  positions, SEQUENCE(n),
  wordSlice, FILTER(words, (positions&gt;=newStart)*(positions&lt;=newStop)),
  TEXTJOIN("" "", TRUE, wordSlice)
)"),", ang atensyon ng mga")</f>
        <v>, ang atensyon ng mga</v>
      </c>
      <c r="E13" s="3" t="str">
        <f>IFERROR(__xludf.DUMMYFUNCTION("INDEX(SPLIT($C13,"" ""), ROW()-ROW($E$2)+1)
"),"atensyon")</f>
        <v>atensyon</v>
      </c>
      <c r="F13" s="1" t="s">
        <v>16</v>
      </c>
      <c r="G13" s="2"/>
      <c r="H13" s="1" t="s">
        <v>0</v>
      </c>
      <c r="I13" s="2"/>
      <c r="J13" s="2"/>
      <c r="K13" s="1" t="s">
        <v>15</v>
      </c>
    </row>
    <row r="14">
      <c r="A14" s="2">
        <v>13.0</v>
      </c>
      <c r="B14" s="2">
        <v>0.0</v>
      </c>
      <c r="C14" s="4" t="s">
        <v>12</v>
      </c>
      <c r="D14" s="5" t="str">
        <f>IFERROR(__xludf.DUMMYFUNCTION("LET(
  words, TRANSPOSE(SPLIT($C14,"" "")),
  n, ROWS(words),
  i, ROW() - ROW($D$2) + 1,
  window, 5,
  minWin, 3,
  half, INT(window/2),
  start, MAX(1, i - half),
  stop, MIN(n, i + half),
  size, stop - start + 1,
  adjHalf, IF(size &lt; minWin, INT((min"&amp;"Win - size)/2), 0),
  newStart, MAX(1, start - adjHalf),
  newStop, MIN(n, stop + adjHalf),
  positions, SEQUENCE(n),
  wordSlice, FILTER(words, (positions&gt;=newStart)*(positions&lt;=newStop)),
  TEXTJOIN("" "", TRUE, wordSlice)
)"),"ang atensyon ng mga netizen")</f>
        <v>ang atensyon ng mga netizen</v>
      </c>
      <c r="E14" s="3" t="str">
        <f>IFERROR(__xludf.DUMMYFUNCTION("INDEX(SPLIT($C14,"" ""), ROW()-ROW($E$2)+1)
"),"ng")</f>
        <v>ng</v>
      </c>
      <c r="F14" s="1" t="s">
        <v>16</v>
      </c>
      <c r="G14" s="2"/>
      <c r="H14" s="1" t="s">
        <v>0</v>
      </c>
      <c r="I14" s="2"/>
      <c r="J14" s="2"/>
      <c r="K14" s="1" t="s">
        <v>15</v>
      </c>
    </row>
    <row r="15">
      <c r="A15" s="2">
        <v>14.0</v>
      </c>
      <c r="B15" s="2">
        <v>0.0</v>
      </c>
      <c r="C15" s="4" t="s">
        <v>12</v>
      </c>
      <c r="D15" s="5" t="str">
        <f>IFERROR(__xludf.DUMMYFUNCTION("LET(
  words, TRANSPOSE(SPLIT($C15,"" "")),
  n, ROWS(words),
  i, ROW() - ROW($D$2) + 1,
  window, 5,
  minWin, 3,
  half, INT(window/2),
  start, MAX(1, i - half),
  stop, MIN(n, i + half),
  size, stop - start + 1,
  adjHalf, IF(size &lt; minWin, INT((min"&amp;"Win - size)/2), 0),
  newStart, MAX(1, start - adjHalf),
  newStop, MIN(n, stop + adjHalf),
  positions, SEQUENCE(n),
  wordSlice, FILTER(words, (positions&gt;=newStart)*(positions&lt;=newStop)),
  TEXTJOIN("" "", TRUE, wordSlice)
)"),"atensyon ng mga netizen ay")</f>
        <v>atensyon ng mga netizen ay</v>
      </c>
      <c r="E15" s="3" t="str">
        <f>IFERROR(__xludf.DUMMYFUNCTION("INDEX(SPLIT($C15,"" ""), ROW()-ROW($E$2)+1)
"),"mga")</f>
        <v>mga</v>
      </c>
      <c r="F15" s="1" t="s">
        <v>16</v>
      </c>
      <c r="G15" s="2"/>
      <c r="H15" s="1" t="s">
        <v>0</v>
      </c>
      <c r="I15" s="2"/>
      <c r="J15" s="2"/>
      <c r="K15" s="1" t="s">
        <v>15</v>
      </c>
    </row>
    <row r="16">
      <c r="A16" s="2">
        <v>15.0</v>
      </c>
      <c r="B16" s="2">
        <v>0.0</v>
      </c>
      <c r="C16" s="4" t="s">
        <v>12</v>
      </c>
      <c r="D16" s="5" t="str">
        <f>IFERROR(__xludf.DUMMYFUNCTION("LET(
  words, TRANSPOSE(SPLIT($C16,"" "")),
  n, ROWS(words),
  i, ROW() - ROW($D$2) + 1,
  window, 5,
  minWin, 3,
  half, INT(window/2),
  start, MAX(1, i - half),
  stop, MIN(n, i + half),
  size, stop - start + 1,
  adjHalf, IF(size &lt; minWin, INT((min"&amp;"Win - size)/2), 0),
  newStart, MAX(1, start - adjHalf),
  newStop, MIN(n, stop + adjHalf),
  positions, SEQUENCE(n),
  wordSlice, FILTER(words, (positions&gt;=newStart)*(positions&lt;=newStop)),
  TEXTJOIN("" "", TRUE, wordSlice)
)"),"ng mga netizen ay napunta")</f>
        <v>ng mga netizen ay napunta</v>
      </c>
      <c r="E16" s="3" t="str">
        <f>IFERROR(__xludf.DUMMYFUNCTION("INDEX(SPLIT($C16,"" ""), ROW()-ROW($E$2)+1)
"),"netizen")</f>
        <v>netizen</v>
      </c>
      <c r="F16" s="1" t="s">
        <v>18</v>
      </c>
      <c r="G16" s="2"/>
      <c r="H16" s="1" t="s">
        <v>0</v>
      </c>
      <c r="I16" s="2"/>
      <c r="J16" s="2"/>
      <c r="K16" s="1" t="s">
        <v>15</v>
      </c>
    </row>
    <row r="17">
      <c r="A17" s="2">
        <v>16.0</v>
      </c>
      <c r="B17" s="2">
        <v>0.0</v>
      </c>
      <c r="C17" s="4" t="s">
        <v>12</v>
      </c>
      <c r="D17" s="5" t="str">
        <f>IFERROR(__xludf.DUMMYFUNCTION("LET(
  words, TRANSPOSE(SPLIT($C17,"" "")),
  n, ROWS(words),
  i, ROW() - ROW($D$2) + 1,
  window, 5,
  minWin, 3,
  half, INT(window/2),
  start, MAX(1, i - half),
  stop, MIN(n, i + half),
  size, stop - start + 1,
  adjHalf, IF(size &lt; minWin, INT((min"&amp;"Win - size)/2), 0),
  newStart, MAX(1, start - adjHalf),
  newStop, MIN(n, stop + adjHalf),
  positions, SEQUENCE(n),
  wordSlice, FILTER(words, (positions&gt;=newStart)*(positions&lt;=newStop)),
  TEXTJOIN("" "", TRUE, wordSlice)
)"),"mga netizen ay napunta sa")</f>
        <v>mga netizen ay napunta sa</v>
      </c>
      <c r="E17" s="3" t="str">
        <f>IFERROR(__xludf.DUMMYFUNCTION("INDEX(SPLIT($C17,"" ""), ROW()-ROW($E$2)+1)
"),"ay")</f>
        <v>ay</v>
      </c>
      <c r="F17" s="1" t="s">
        <v>16</v>
      </c>
      <c r="G17" s="2"/>
      <c r="H17" s="1" t="s">
        <v>0</v>
      </c>
      <c r="I17" s="2"/>
      <c r="J17" s="2"/>
      <c r="K17" s="1" t="s">
        <v>15</v>
      </c>
    </row>
    <row r="18">
      <c r="A18" s="2">
        <v>17.0</v>
      </c>
      <c r="B18" s="2">
        <v>0.0</v>
      </c>
      <c r="C18" s="4" t="s">
        <v>12</v>
      </c>
      <c r="D18" s="5" t="str">
        <f>IFERROR(__xludf.DUMMYFUNCTION("LET(
  words, TRANSPOSE(SPLIT($C18,"" "")),
  n, ROWS(words),
  i, ROW() - ROW($D$2) + 1,
  window, 5,
  minWin, 3,
  half, INT(window/2),
  start, MAX(1, i - half),
  stop, MIN(n, i + half),
  size, stop - start + 1,
  adjHalf, IF(size &lt; minWin, INT((min"&amp;"Win - size)/2), 0),
  newStart, MAX(1, start - adjHalf),
  newStop, MIN(n, stop + adjHalf),
  positions, SEQUENCE(n),
  wordSlice, FILTER(words, (positions&gt;=newStart)*(positions&lt;=newStop)),
  TEXTJOIN("" "", TRUE, wordSlice)
)"),"netizen ay napunta sa bagong")</f>
        <v>netizen ay napunta sa bagong</v>
      </c>
      <c r="E18" s="3" t="str">
        <f>IFERROR(__xludf.DUMMYFUNCTION("INDEX(SPLIT($C18,"" ""), ROW()-ROW($E$2)+1)
"),"napunta")</f>
        <v>napunta</v>
      </c>
      <c r="F18" s="1" t="s">
        <v>16</v>
      </c>
      <c r="G18" s="2"/>
      <c r="H18" s="1" t="s">
        <v>0</v>
      </c>
      <c r="I18" s="2"/>
      <c r="J18" s="2"/>
      <c r="K18" s="1" t="s">
        <v>15</v>
      </c>
    </row>
    <row r="19">
      <c r="A19" s="2">
        <v>18.0</v>
      </c>
      <c r="B19" s="2">
        <v>0.0</v>
      </c>
      <c r="C19" s="4" t="s">
        <v>12</v>
      </c>
      <c r="D19" s="5" t="str">
        <f>IFERROR(__xludf.DUMMYFUNCTION("LET(
  words, TRANSPOSE(SPLIT($C19,"" "")),
  n, ROWS(words),
  i, ROW() - ROW($D$2) + 1,
  window, 5,
  minWin, 3,
  half, INT(window/2),
  start, MAX(1, i - half),
  stop, MIN(n, i + half),
  size, stop - start + 1,
  adjHalf, IF(size &lt; minWin, INT((min"&amp;"Win - size)/2), 0),
  newStart, MAX(1, start - adjHalf),
  newStop, MIN(n, stop + adjHalf),
  positions, SEQUENCE(n),
  wordSlice, FILTER(words, (positions&gt;=newStart)*(positions&lt;=newStop)),
  TEXTJOIN("" "", TRUE, wordSlice)
)"),"ay napunta sa bagong font")</f>
        <v>ay napunta sa bagong font</v>
      </c>
      <c r="E19" s="3" t="str">
        <f>IFERROR(__xludf.DUMMYFUNCTION("INDEX(SPLIT($C19,"" ""), ROW()-ROW($E$2)+1)
"),"sa")</f>
        <v>sa</v>
      </c>
      <c r="F19" s="1" t="s">
        <v>16</v>
      </c>
      <c r="G19" s="2"/>
      <c r="H19" s="1" t="s">
        <v>0</v>
      </c>
      <c r="I19" s="2"/>
      <c r="J19" s="2"/>
      <c r="K19" s="1" t="s">
        <v>15</v>
      </c>
    </row>
    <row r="20">
      <c r="A20" s="2">
        <v>19.0</v>
      </c>
      <c r="B20" s="2">
        <v>0.0</v>
      </c>
      <c r="C20" s="4" t="s">
        <v>12</v>
      </c>
      <c r="D20" s="5" t="str">
        <f>IFERROR(__xludf.DUMMYFUNCTION("LET(
  words, TRANSPOSE(SPLIT($C20,"" "")),
  n, ROWS(words),
  i, ROW() - ROW($D$2) + 1,
  window, 5,
  minWin, 3,
  half, INT(window/2),
  start, MAX(1, i - half),
  stop, MIN(n, i + half),
  size, stop - start + 1,
  adjHalf, IF(size &lt; minWin, INT((min"&amp;"Win - size)/2), 0),
  newStart, MAX(1, start - adjHalf),
  newStop, MIN(n, stop + adjHalf),
  positions, SEQUENCE(n),
  wordSlice, FILTER(words, (positions&gt;=newStart)*(positions&lt;=newStop)),
  TEXTJOIN("" "", TRUE, wordSlice)
)"),"napunta sa bagong font style")</f>
        <v>napunta sa bagong font style</v>
      </c>
      <c r="E20" s="3" t="str">
        <f>IFERROR(__xludf.DUMMYFUNCTION("INDEX(SPLIT($C20,"" ""), ROW()-ROW($E$2)+1)
"),"bagong")</f>
        <v>bagong</v>
      </c>
      <c r="F20" s="1" t="s">
        <v>16</v>
      </c>
      <c r="G20" s="2"/>
      <c r="H20" s="1" t="s">
        <v>0</v>
      </c>
      <c r="I20" s="2"/>
      <c r="J20" s="2"/>
      <c r="K20" s="1" t="s">
        <v>15</v>
      </c>
    </row>
    <row r="21" ht="15.75" customHeight="1">
      <c r="A21" s="2">
        <v>20.0</v>
      </c>
      <c r="B21" s="2">
        <v>0.0</v>
      </c>
      <c r="C21" s="4" t="s">
        <v>12</v>
      </c>
      <c r="D21" s="5" t="str">
        <f>IFERROR(__xludf.DUMMYFUNCTION("LET(
  words, TRANSPOSE(SPLIT($C21,"" "")),
  n, ROWS(words),
  i, ROW() - ROW($D$2) + 1,
  window, 5,
  minWin, 3,
  half, INT(window/2),
  start, MAX(1, i - half),
  stop, MIN(n, i + half),
  size, stop - start + 1,
  adjHalf, IF(size &lt; minWin, INT((min"&amp;"Win - size)/2), 0),
  newStart, MAX(1, start - adjHalf),
  newStop, MIN(n, stop + adjHalf),
  positions, SEQUENCE(n),
  wordSlice, FILTER(words, (positions&gt;=newStart)*(positions&lt;=newStop)),
  TEXTJOIN("" "", TRUE, wordSlice)
)"),"sa bagong font style na")</f>
        <v>sa bagong font style na</v>
      </c>
      <c r="E21" s="3" t="str">
        <f>IFERROR(__xludf.DUMMYFUNCTION("INDEX(SPLIT($C21,"" ""), ROW()-ROW($E$2)+1)
"),"font")</f>
        <v>font</v>
      </c>
      <c r="F21" s="1" t="s">
        <v>18</v>
      </c>
      <c r="G21" s="2"/>
      <c r="H21" s="1" t="s">
        <v>0</v>
      </c>
      <c r="I21" s="2"/>
      <c r="J21" s="2"/>
      <c r="K21" s="1" t="s">
        <v>15</v>
      </c>
    </row>
    <row r="22" ht="15.75" customHeight="1">
      <c r="A22" s="2">
        <v>21.0</v>
      </c>
      <c r="B22" s="2">
        <v>0.0</v>
      </c>
      <c r="C22" s="4" t="s">
        <v>12</v>
      </c>
      <c r="D22" s="5" t="str">
        <f>IFERROR(__xludf.DUMMYFUNCTION("LET(
  words, TRANSPOSE(SPLIT($C22,"" "")),
  n, ROWS(words),
  i, ROW() - ROW($D$2) + 1,
  window, 5,
  minWin, 3,
  half, INT(window/2),
  start, MAX(1, i - half),
  stop, MIN(n, i + half),
  size, stop - start + 1,
  adjHalf, IF(size &lt; minWin, INT((min"&amp;"Win - size)/2), 0),
  newStart, MAX(1, start - adjHalf),
  newStop, MIN(n, stop + adjHalf),
  positions, SEQUENCE(n),
  wordSlice, FILTER(words, (positions&gt;=newStart)*(positions&lt;=newStop)),
  TEXTJOIN("" "", TRUE, wordSlice)
)"),"bagong font style na ginamit")</f>
        <v>bagong font style na ginamit</v>
      </c>
      <c r="E22" s="3" t="str">
        <f>IFERROR(__xludf.DUMMYFUNCTION("INDEX(SPLIT($C22,"" ""), ROW()-ROW($E$2)+1)
"),"style")</f>
        <v>style</v>
      </c>
      <c r="F22" s="1" t="s">
        <v>18</v>
      </c>
      <c r="G22" s="2"/>
      <c r="H22" s="1" t="s">
        <v>0</v>
      </c>
      <c r="I22" s="2"/>
      <c r="J22" s="2"/>
      <c r="K22" s="1" t="s">
        <v>15</v>
      </c>
    </row>
    <row r="23" ht="15.75" customHeight="1">
      <c r="A23" s="2">
        <v>22.0</v>
      </c>
      <c r="B23" s="2">
        <v>0.0</v>
      </c>
      <c r="C23" s="4" t="s">
        <v>12</v>
      </c>
      <c r="D23" s="5" t="str">
        <f>IFERROR(__xludf.DUMMYFUNCTION("LET(
  words, TRANSPOSE(SPLIT($C23,"" "")),
  n, ROWS(words),
  i, ROW() - ROW($D$2) + 1,
  window, 5,
  minWin, 3,
  half, INT(window/2),
  start, MAX(1, i - half),
  stop, MIN(n, i + half),
  size, stop - start + 1,
  adjHalf, IF(size &lt; minWin, INT((min"&amp;"Win - size)/2), 0),
  newStart, MAX(1, start - adjHalf),
  newStop, MIN(n, stop + adjHalf),
  positions, SEQUENCE(n),
  wordSlice, FILTER(words, (positions&gt;=newStart)*(positions&lt;=newStop)),
  TEXTJOIN("" "", TRUE, wordSlice)
)"),"font style na ginamit nya")</f>
        <v>font style na ginamit nya</v>
      </c>
      <c r="E23" s="3" t="str">
        <f>IFERROR(__xludf.DUMMYFUNCTION("INDEX(SPLIT($C23,"" ""), ROW()-ROW($E$2)+1)
"),"na")</f>
        <v>na</v>
      </c>
      <c r="F23" s="1" t="s">
        <v>16</v>
      </c>
      <c r="G23" s="2"/>
      <c r="H23" s="1" t="s">
        <v>0</v>
      </c>
      <c r="I23" s="2"/>
      <c r="J23" s="2"/>
      <c r="K23" s="1" t="s">
        <v>15</v>
      </c>
    </row>
    <row r="24" ht="15.75" customHeight="1">
      <c r="A24" s="2">
        <v>23.0</v>
      </c>
      <c r="B24" s="2">
        <v>0.0</v>
      </c>
      <c r="C24" s="4" t="s">
        <v>12</v>
      </c>
      <c r="D24" s="5" t="str">
        <f>IFERROR(__xludf.DUMMYFUNCTION("LET(
  words, TRANSPOSE(SPLIT($C24,"" "")),
  n, ROWS(words),
  i, ROW() - ROW($D$2) + 1,
  window, 5,
  minWin, 3,
  half, INT(window/2),
  start, MAX(1, i - half),
  stop, MIN(n, i + half),
  size, stop - start + 1,
  adjHalf, IF(size &lt; minWin, INT((min"&amp;"Win - size)/2), 0),
  newStart, MAX(1, start - adjHalf),
  newStop, MIN(n, stop + adjHalf),
  positions, SEQUENCE(n),
  wordSlice, FILTER(words, (positions&gt;=newStart)*(positions&lt;=newStop)),
  TEXTJOIN("" "", TRUE, wordSlice)
)"),"style na ginamit nya .")</f>
        <v>style na ginamit nya .</v>
      </c>
      <c r="E24" s="3" t="str">
        <f>IFERROR(__xludf.DUMMYFUNCTION("INDEX(SPLIT($C24,"" ""), ROW()-ROW($E$2)+1)
"),"ginamit")</f>
        <v>ginamit</v>
      </c>
      <c r="F24" s="1" t="s">
        <v>16</v>
      </c>
      <c r="G24" s="2"/>
      <c r="H24" s="1" t="s">
        <v>0</v>
      </c>
      <c r="I24" s="2"/>
      <c r="J24" s="2"/>
      <c r="K24" s="1" t="s">
        <v>15</v>
      </c>
    </row>
    <row r="25" ht="15.75" customHeight="1">
      <c r="A25" s="2">
        <v>24.0</v>
      </c>
      <c r="B25" s="2">
        <v>0.0</v>
      </c>
      <c r="C25" s="4" t="s">
        <v>12</v>
      </c>
      <c r="D25" s="5" t="str">
        <f>IFERROR(__xludf.DUMMYFUNCTION("LET(
  words, TRANSPOSE(SPLIT($C25,"" "")),
  n, ROWS(words),
  i, ROW() - ROW($D$2) + 1,
  window, 5,
  minWin, 3,
  half, INT(window/2),
  start, MAX(1, i - half),
  stop, MIN(n, i + half),
  size, stop - start + 1,
  adjHalf, IF(size &lt; minWin, INT((min"&amp;"Win - size)/2), 0),
  newStart, MAX(1, start - adjHalf),
  newStop, MIN(n, stop + adjHalf),
  positions, SEQUENCE(n),
  wordSlice, FILTER(words, (positions&gt;=newStart)*(positions&lt;=newStop)),
  TEXTJOIN("" "", TRUE, wordSlice)
)"),"na ginamit nya .")</f>
        <v>na ginamit nya .</v>
      </c>
      <c r="E25" s="3" t="str">
        <f>IFERROR(__xludf.DUMMYFUNCTION("INDEX(SPLIT($C25,"" ""), ROW()-ROW($E$2)+1)
"),"nya")</f>
        <v>nya</v>
      </c>
      <c r="F25" s="1" t="s">
        <v>16</v>
      </c>
      <c r="G25" s="1" t="s">
        <v>19</v>
      </c>
      <c r="H25" s="1" t="s">
        <v>0</v>
      </c>
      <c r="I25" s="2"/>
      <c r="J25" s="2"/>
      <c r="K25" s="1" t="s">
        <v>15</v>
      </c>
    </row>
    <row r="26" ht="15.75" customHeight="1">
      <c r="A26" s="6">
        <v>25.0</v>
      </c>
      <c r="B26" s="6">
        <v>0.0</v>
      </c>
      <c r="C26" s="7" t="s">
        <v>12</v>
      </c>
      <c r="D26" s="8" t="str">
        <f>IFERROR(__xludf.DUMMYFUNCTION("LET(
  words, TRANSPOSE(SPLIT($C26,"" "")),
  n, ROWS(words),
  i, ROW() - ROW($D$2) + 1,
  window, 5,
  minWin, 3,
  half, INT(window/2),
  start, MAX(1, i - half),
  stop, MIN(n, i + half),
  size, stop - start + 1,
  adjHalf, IF(size &lt; minWin, INT((min"&amp;"Win - size)/2), 0),
  newStart, MAX(1, start - adjHalf),
  newStop, MIN(n, stop + adjHalf),
  positions, SEQUENCE(n),
  wordSlice, FILTER(words, (positions&gt;=newStart)*(positions&lt;=newStop)),
  TEXTJOIN("" "", TRUE, wordSlice)
)"),"ginamit nya .")</f>
        <v>ginamit nya .</v>
      </c>
      <c r="E26" s="9" t="str">
        <f>IFERROR(__xludf.DUMMYFUNCTION("INDEX(SPLIT($C26,"" ""), ROW()-ROW($E$2)+1)
"),".")</f>
        <v>.</v>
      </c>
      <c r="F26" s="10" t="s">
        <v>17</v>
      </c>
      <c r="G26" s="6"/>
      <c r="H26" s="10" t="s">
        <v>0</v>
      </c>
      <c r="I26" s="6"/>
      <c r="J26" s="6"/>
      <c r="K26" s="10" t="s">
        <v>15</v>
      </c>
      <c r="L26" s="6"/>
    </row>
    <row r="27" ht="15.75" customHeight="1">
      <c r="A27" s="11">
        <v>26.0</v>
      </c>
      <c r="B27" s="12">
        <v>1.0</v>
      </c>
      <c r="C27" s="13" t="s">
        <v>20</v>
      </c>
      <c r="D27" s="14" t="str">
        <f>IFERROR(__xludf.DUMMYFUNCTION("LET(
  words, TRANSPOSE(SPLIT($C27,""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)"),"Kapag malapit na")</f>
        <v>Kapag malapit na</v>
      </c>
      <c r="E27" s="15" t="str">
        <f>IFERROR(__xludf.DUMMYFUNCTION("INDEX(SPLIT($C27,"" ""), ROW()-ROW($E$27)+1)
"),"Kapag")</f>
        <v>Kapag</v>
      </c>
      <c r="F27" s="12" t="s">
        <v>16</v>
      </c>
      <c r="G27" s="11"/>
      <c r="H27" s="1" t="s">
        <v>0</v>
      </c>
      <c r="I27" s="2"/>
      <c r="J27" s="2"/>
      <c r="K27" s="1" t="s">
        <v>15</v>
      </c>
    </row>
    <row r="28" ht="15.75" customHeight="1">
      <c r="A28" s="11">
        <v>27.0</v>
      </c>
      <c r="B28" s="12">
        <v>1.0</v>
      </c>
      <c r="C28" s="13" t="s">
        <v>20</v>
      </c>
      <c r="D28" s="14" t="str">
        <f>IFERROR(__xludf.DUMMYFUNCTION("LET(
  words, TRANSPOSE(SPLIT($C28,""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)"),"Kapag malapit na ang")</f>
        <v>Kapag malapit na ang</v>
      </c>
      <c r="E28" s="15" t="str">
        <f>IFERROR(__xludf.DUMMYFUNCTION("INDEX(SPLIT($C28,"" ""), ROW()-ROW($E$27)+1)
"),"malapit")</f>
        <v>malapit</v>
      </c>
      <c r="F28" s="12" t="s">
        <v>16</v>
      </c>
      <c r="G28" s="11"/>
      <c r="H28" s="1" t="s">
        <v>0</v>
      </c>
      <c r="I28" s="2"/>
      <c r="J28" s="2"/>
      <c r="K28" s="1" t="s">
        <v>15</v>
      </c>
    </row>
    <row r="29" ht="15.75" customHeight="1">
      <c r="A29" s="11">
        <v>28.0</v>
      </c>
      <c r="B29" s="12">
        <v>1.0</v>
      </c>
      <c r="C29" s="13" t="s">
        <v>20</v>
      </c>
      <c r="D29" s="14" t="str">
        <f>IFERROR(__xludf.DUMMYFUNCTION("LET(
  words, TRANSPOSE(SPLIT($C29,""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)"),"Kapag malapit na ang december")</f>
        <v>Kapag malapit na ang december</v>
      </c>
      <c r="E29" s="15" t="str">
        <f>IFERROR(__xludf.DUMMYFUNCTION("INDEX(SPLIT($C29,"" ""), ROW()-ROW($E$27)+1)
"),"na")</f>
        <v>na</v>
      </c>
      <c r="F29" s="12" t="s">
        <v>16</v>
      </c>
      <c r="G29" s="11"/>
      <c r="H29" s="1" t="s">
        <v>0</v>
      </c>
      <c r="I29" s="2"/>
      <c r="J29" s="2"/>
      <c r="K29" s="1" t="s">
        <v>15</v>
      </c>
    </row>
    <row r="30" ht="15.75" customHeight="1">
      <c r="A30" s="11">
        <v>29.0</v>
      </c>
      <c r="B30" s="12">
        <v>1.0</v>
      </c>
      <c r="C30" s="13" t="s">
        <v>20</v>
      </c>
      <c r="D30" s="14" t="str">
        <f>IFERROR(__xludf.DUMMYFUNCTION("LET(
  words, TRANSPOSE(SPLIT($C30,""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)"),"malapit na ang december pagpaplanuhin")</f>
        <v>malapit na ang december pagpaplanuhin</v>
      </c>
      <c r="E30" s="15" t="str">
        <f>IFERROR(__xludf.DUMMYFUNCTION("INDEX(SPLIT($C30,"" ""), ROW()-ROW($E$27)+1)
"),"ang")</f>
        <v>ang</v>
      </c>
      <c r="F30" s="12" t="s">
        <v>16</v>
      </c>
      <c r="G30" s="11"/>
      <c r="H30" s="1" t="s">
        <v>0</v>
      </c>
      <c r="I30" s="2"/>
      <c r="J30" s="2"/>
      <c r="K30" s="1" t="s">
        <v>15</v>
      </c>
    </row>
    <row r="31" ht="15.75" customHeight="1">
      <c r="A31" s="11">
        <v>30.0</v>
      </c>
      <c r="B31" s="12">
        <v>1.0</v>
      </c>
      <c r="C31" s="13" t="s">
        <v>20</v>
      </c>
      <c r="D31" s="14" t="str">
        <f>IFERROR(__xludf.DUMMYFUNCTION("LET(
  words, TRANSPOSE(SPLIT($C31,""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)"),"na ang december pagpaplanuhin ko")</f>
        <v>na ang december pagpaplanuhin ko</v>
      </c>
      <c r="E31" s="15" t="str">
        <f>IFERROR(__xludf.DUMMYFUNCTION("INDEX(SPLIT($C31,"" ""), ROW()-ROW($E$27)+1)
"),"december")</f>
        <v>december</v>
      </c>
      <c r="F31" s="12" t="s">
        <v>18</v>
      </c>
      <c r="G31" s="11"/>
      <c r="H31" s="1" t="s">
        <v>0</v>
      </c>
      <c r="I31" s="2"/>
      <c r="J31" s="2"/>
      <c r="K31" s="1" t="s">
        <v>15</v>
      </c>
    </row>
    <row r="32" ht="15.75" customHeight="1">
      <c r="A32" s="11">
        <v>31.0</v>
      </c>
      <c r="B32" s="12">
        <v>1.0</v>
      </c>
      <c r="C32" s="13" t="s">
        <v>20</v>
      </c>
      <c r="D32" s="14" t="str">
        <f>IFERROR(__xludf.DUMMYFUNCTION("LET(
  words, TRANSPOSE(SPLIT($C32,""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)"),"ang december pagpaplanuhin ko na")</f>
        <v>ang december pagpaplanuhin ko na</v>
      </c>
      <c r="E32" s="15" t="str">
        <f>IFERROR(__xludf.DUMMYFUNCTION("INDEX(SPLIT($C32,"" ""), ROW()-ROW($E$27)+1)
"),"pagpaplanuhin")</f>
        <v>pagpaplanuhin</v>
      </c>
      <c r="F32" s="12" t="s">
        <v>16</v>
      </c>
      <c r="G32" s="11"/>
      <c r="H32" s="1" t="s">
        <v>0</v>
      </c>
      <c r="I32" s="2"/>
      <c r="J32" s="2"/>
      <c r="K32" s="1" t="s">
        <v>15</v>
      </c>
    </row>
    <row r="33" ht="15.75" customHeight="1">
      <c r="A33" s="11">
        <v>32.0</v>
      </c>
      <c r="B33" s="12">
        <v>1.0</v>
      </c>
      <c r="C33" s="13" t="s">
        <v>20</v>
      </c>
      <c r="D33" s="14" t="str">
        <f>IFERROR(__xludf.DUMMYFUNCTION("LET(
  words, TRANSPOSE(SPLIT($C33,""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)"),"december pagpaplanuhin ko na kung")</f>
        <v>december pagpaplanuhin ko na kung</v>
      </c>
      <c r="E33" s="15" t="str">
        <f>IFERROR(__xludf.DUMMYFUNCTION("INDEX(SPLIT($C33,"" ""), ROW()-ROW($E$27)+1)
"),"ko")</f>
        <v>ko</v>
      </c>
      <c r="F33" s="12" t="s">
        <v>16</v>
      </c>
      <c r="G33" s="11"/>
      <c r="H33" s="1" t="s">
        <v>0</v>
      </c>
      <c r="I33" s="2"/>
      <c r="J33" s="2"/>
      <c r="K33" s="1" t="s">
        <v>15</v>
      </c>
    </row>
    <row r="34" ht="15.75" customHeight="1">
      <c r="A34" s="11">
        <v>33.0</v>
      </c>
      <c r="B34" s="12">
        <v>1.0</v>
      </c>
      <c r="C34" s="13" t="s">
        <v>20</v>
      </c>
      <c r="D34" s="14" t="str">
        <f>IFERROR(__xludf.DUMMYFUNCTION("LET(
  words, TRANSPOSE(SPLIT($C34,""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)"),"pagpaplanuhin ko na kung ano")</f>
        <v>pagpaplanuhin ko na kung ano</v>
      </c>
      <c r="E34" s="15" t="str">
        <f>IFERROR(__xludf.DUMMYFUNCTION("INDEX(SPLIT($C34,"" ""), ROW()-ROW($E$27)+1)
"),"na")</f>
        <v>na</v>
      </c>
      <c r="F34" s="12" t="s">
        <v>16</v>
      </c>
      <c r="G34" s="11"/>
      <c r="H34" s="1" t="s">
        <v>0</v>
      </c>
      <c r="I34" s="2"/>
      <c r="J34" s="2"/>
      <c r="K34" s="1" t="s">
        <v>15</v>
      </c>
    </row>
    <row r="35" ht="15.75" customHeight="1">
      <c r="A35" s="11">
        <v>34.0</v>
      </c>
      <c r="B35" s="12">
        <v>1.0</v>
      </c>
      <c r="C35" s="13" t="s">
        <v>20</v>
      </c>
      <c r="D35" s="14" t="str">
        <f>IFERROR(__xludf.DUMMYFUNCTION("LET(
  words, TRANSPOSE(SPLIT($C35,""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)"),"ko na kung ano ang")</f>
        <v>ko na kung ano ang</v>
      </c>
      <c r="E35" s="15" t="str">
        <f>IFERROR(__xludf.DUMMYFUNCTION("INDEX(SPLIT($C35,"" ""), ROW()-ROW($E$27)+1)
"),"kung")</f>
        <v>kung</v>
      </c>
      <c r="F35" s="12" t="s">
        <v>16</v>
      </c>
      <c r="G35" s="11"/>
      <c r="H35" s="1" t="s">
        <v>0</v>
      </c>
      <c r="I35" s="2"/>
      <c r="J35" s="2"/>
      <c r="K35" s="1" t="s">
        <v>15</v>
      </c>
    </row>
    <row r="36" ht="15.75" customHeight="1">
      <c r="A36" s="11">
        <v>35.0</v>
      </c>
      <c r="B36" s="12">
        <v>1.0</v>
      </c>
      <c r="C36" s="13" t="s">
        <v>20</v>
      </c>
      <c r="D36" s="14" t="str">
        <f>IFERROR(__xludf.DUMMYFUNCTION("LET(
  words, TRANSPOSE(SPLIT($C36,""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)"),"na kung ano ang mga")</f>
        <v>na kung ano ang mga</v>
      </c>
      <c r="E36" s="15" t="str">
        <f>IFERROR(__xludf.DUMMYFUNCTION("INDEX(SPLIT($C36,"" ""), ROW()-ROW($E$27)+1)
"),"ano")</f>
        <v>ano</v>
      </c>
      <c r="F36" s="12" t="s">
        <v>16</v>
      </c>
      <c r="G36" s="11"/>
      <c r="H36" s="1" t="s">
        <v>0</v>
      </c>
      <c r="I36" s="2"/>
      <c r="J36" s="2"/>
      <c r="K36" s="1" t="s">
        <v>15</v>
      </c>
    </row>
    <row r="37" ht="15.75" customHeight="1">
      <c r="A37" s="11">
        <v>36.0</v>
      </c>
      <c r="B37" s="12">
        <v>1.0</v>
      </c>
      <c r="C37" s="13" t="s">
        <v>20</v>
      </c>
      <c r="D37" s="14" t="str">
        <f>IFERROR(__xludf.DUMMYFUNCTION("LET(
  words, TRANSPOSE(SPLIT($C37,""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)"),"kung ano ang mga gifts")</f>
        <v>kung ano ang mga gifts</v>
      </c>
      <c r="E37" s="15" t="str">
        <f>IFERROR(__xludf.DUMMYFUNCTION("INDEX(SPLIT($C37,"" ""), ROW()-ROW($E$27)+1)
"),"ang")</f>
        <v>ang</v>
      </c>
      <c r="F37" s="12" t="s">
        <v>16</v>
      </c>
      <c r="G37" s="11"/>
      <c r="H37" s="1" t="s">
        <v>0</v>
      </c>
      <c r="I37" s="2"/>
      <c r="J37" s="2"/>
      <c r="K37" s="1" t="s">
        <v>15</v>
      </c>
    </row>
    <row r="38" ht="15.75" customHeight="1">
      <c r="A38" s="11">
        <v>37.0</v>
      </c>
      <c r="B38" s="12">
        <v>1.0</v>
      </c>
      <c r="C38" s="13" t="s">
        <v>20</v>
      </c>
      <c r="D38" s="14" t="str">
        <f>IFERROR(__xludf.DUMMYFUNCTION("LET(
  words, TRANSPOSE(SPLIT($C38,""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)"),"ano ang mga gifts na")</f>
        <v>ano ang mga gifts na</v>
      </c>
      <c r="E38" s="15" t="str">
        <f>IFERROR(__xludf.DUMMYFUNCTION("INDEX(SPLIT($C38,"" ""), ROW()-ROW($E$27)+1)
"),"mga")</f>
        <v>mga</v>
      </c>
      <c r="F38" s="12" t="s">
        <v>16</v>
      </c>
      <c r="G38" s="11"/>
      <c r="H38" s="1" t="s">
        <v>0</v>
      </c>
      <c r="I38" s="2"/>
      <c r="J38" s="2"/>
      <c r="K38" s="1" t="s">
        <v>15</v>
      </c>
    </row>
    <row r="39" ht="15.75" customHeight="1">
      <c r="A39" s="11">
        <v>38.0</v>
      </c>
      <c r="B39" s="12">
        <v>1.0</v>
      </c>
      <c r="C39" s="13" t="s">
        <v>20</v>
      </c>
      <c r="D39" s="14" t="str">
        <f>IFERROR(__xludf.DUMMYFUNCTION("LET(
  words, TRANSPOSE(SPLIT($C39,""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)"),"ang mga gifts na ibibigay")</f>
        <v>ang mga gifts na ibibigay</v>
      </c>
      <c r="E39" s="15" t="str">
        <f>IFERROR(__xludf.DUMMYFUNCTION("INDEX(SPLIT($C39,"" ""), ROW()-ROW($E$27)+1)
"),"gifts")</f>
        <v>gifts</v>
      </c>
      <c r="F39" s="12" t="s">
        <v>18</v>
      </c>
      <c r="G39" s="11"/>
      <c r="H39" s="1" t="s">
        <v>0</v>
      </c>
      <c r="I39" s="2"/>
      <c r="J39" s="2"/>
      <c r="K39" s="1" t="s">
        <v>15</v>
      </c>
    </row>
    <row r="40" ht="15.75" customHeight="1">
      <c r="A40" s="11">
        <v>39.0</v>
      </c>
      <c r="B40" s="12">
        <v>1.0</v>
      </c>
      <c r="C40" s="13" t="s">
        <v>20</v>
      </c>
      <c r="D40" s="14" t="str">
        <f>IFERROR(__xludf.DUMMYFUNCTION("LET(
  words, TRANSPOSE(SPLIT($C40,""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)"),"mga gifts na ibibigay ko")</f>
        <v>mga gifts na ibibigay ko</v>
      </c>
      <c r="E40" s="15" t="str">
        <f>IFERROR(__xludf.DUMMYFUNCTION("INDEX(SPLIT($C40,"" ""), ROW()-ROW($E$27)+1)
"),"na")</f>
        <v>na</v>
      </c>
      <c r="F40" s="12" t="s">
        <v>16</v>
      </c>
      <c r="G40" s="11"/>
      <c r="H40" s="1" t="s">
        <v>0</v>
      </c>
      <c r="I40" s="2"/>
      <c r="J40" s="2"/>
      <c r="K40" s="1" t="s">
        <v>15</v>
      </c>
    </row>
    <row r="41" ht="15.75" customHeight="1">
      <c r="A41" s="11">
        <v>40.0</v>
      </c>
      <c r="B41" s="12">
        <v>1.0</v>
      </c>
      <c r="C41" s="13" t="s">
        <v>20</v>
      </c>
      <c r="D41" s="14" t="str">
        <f>IFERROR(__xludf.DUMMYFUNCTION("LET(
  words, TRANSPOSE(SPLIT($C41,""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)"),"gifts na ibibigay ko sa")</f>
        <v>gifts na ibibigay ko sa</v>
      </c>
      <c r="E41" s="15" t="str">
        <f>IFERROR(__xludf.DUMMYFUNCTION("INDEX(SPLIT($C41,"" ""), ROW()-ROW($E$27)+1)
"),"ibibigay")</f>
        <v>ibibigay</v>
      </c>
      <c r="F41" s="12" t="s">
        <v>16</v>
      </c>
      <c r="G41" s="11"/>
      <c r="H41" s="1" t="s">
        <v>0</v>
      </c>
      <c r="I41" s="2"/>
      <c r="J41" s="2"/>
      <c r="K41" s="1" t="s">
        <v>15</v>
      </c>
    </row>
    <row r="42" ht="15.75" customHeight="1">
      <c r="A42" s="11">
        <v>41.0</v>
      </c>
      <c r="B42" s="12">
        <v>1.0</v>
      </c>
      <c r="C42" s="13" t="s">
        <v>20</v>
      </c>
      <c r="D42" s="14" t="str">
        <f>IFERROR(__xludf.DUMMYFUNCTION("LET(
  words, TRANSPOSE(SPLIT($C42,""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)"),"na ibibigay ko sa office")</f>
        <v>na ibibigay ko sa office</v>
      </c>
      <c r="E42" s="15" t="str">
        <f>IFERROR(__xludf.DUMMYFUNCTION("INDEX(SPLIT($C42,"" ""), ROW()-ROW($E$27)+1)
"),"ko")</f>
        <v>ko</v>
      </c>
      <c r="F42" s="12" t="s">
        <v>16</v>
      </c>
      <c r="G42" s="11"/>
      <c r="H42" s="1" t="s">
        <v>0</v>
      </c>
      <c r="I42" s="2"/>
      <c r="J42" s="2"/>
      <c r="K42" s="1" t="s">
        <v>15</v>
      </c>
    </row>
    <row r="43" ht="15.75" customHeight="1">
      <c r="A43" s="11">
        <v>42.0</v>
      </c>
      <c r="B43" s="12">
        <v>1.0</v>
      </c>
      <c r="C43" s="13" t="s">
        <v>20</v>
      </c>
      <c r="D43" s="14" t="str">
        <f>IFERROR(__xludf.DUMMYFUNCTION("LET(
  words, TRANSPOSE(SPLIT($C43,""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)"),"ibibigay ko sa office ng")</f>
        <v>ibibigay ko sa office ng</v>
      </c>
      <c r="E43" s="15" t="str">
        <f>IFERROR(__xludf.DUMMYFUNCTION("INDEX(SPLIT($C43,"" ""), ROW()-ROW($E$27)+1)
"),"sa")</f>
        <v>sa</v>
      </c>
      <c r="F43" s="12" t="s">
        <v>16</v>
      </c>
      <c r="G43" s="11"/>
      <c r="H43" s="1" t="s">
        <v>0</v>
      </c>
      <c r="I43" s="2"/>
      <c r="J43" s="2"/>
      <c r="K43" s="1" t="s">
        <v>15</v>
      </c>
    </row>
    <row r="44" ht="15.75" customHeight="1">
      <c r="A44" s="11">
        <v>43.0</v>
      </c>
      <c r="B44" s="12">
        <v>1.0</v>
      </c>
      <c r="C44" s="13" t="s">
        <v>20</v>
      </c>
      <c r="D44" s="14" t="str">
        <f>IFERROR(__xludf.DUMMYFUNCTION("LET(
  words, TRANSPOSE(SPLIT($C44,""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)"),"ko sa office ng mga")</f>
        <v>ko sa office ng mga</v>
      </c>
      <c r="E44" s="15" t="str">
        <f>IFERROR(__xludf.DUMMYFUNCTION("INDEX(SPLIT($C44,"" ""), ROW()-ROW($E$27)+1)
"),"office")</f>
        <v>office</v>
      </c>
      <c r="F44" s="12" t="s">
        <v>18</v>
      </c>
      <c r="G44" s="11"/>
      <c r="H44" s="1" t="s">
        <v>0</v>
      </c>
      <c r="I44" s="2"/>
      <c r="J44" s="2"/>
      <c r="K44" s="1" t="s">
        <v>15</v>
      </c>
    </row>
    <row r="45" ht="15.75" customHeight="1">
      <c r="A45" s="11">
        <v>44.0</v>
      </c>
      <c r="B45" s="12">
        <v>1.0</v>
      </c>
      <c r="C45" s="13" t="s">
        <v>20</v>
      </c>
      <c r="D45" s="14" t="str">
        <f>IFERROR(__xludf.DUMMYFUNCTION("LET(
  words, TRANSPOSE(SPLIT($C45,""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)"),"sa office ng mga software")</f>
        <v>sa office ng mga software</v>
      </c>
      <c r="E45" s="15" t="str">
        <f>IFERROR(__xludf.DUMMYFUNCTION("INDEX(SPLIT($C45,"" ""), ROW()-ROW($E$27)+1)
"),"ng")</f>
        <v>ng</v>
      </c>
      <c r="F45" s="12" t="s">
        <v>16</v>
      </c>
      <c r="G45" s="11"/>
      <c r="H45" s="1" t="s">
        <v>0</v>
      </c>
      <c r="I45" s="2"/>
      <c r="J45" s="2"/>
      <c r="K45" s="1" t="s">
        <v>15</v>
      </c>
    </row>
    <row r="46" ht="15.75" customHeight="1">
      <c r="A46" s="11">
        <v>45.0</v>
      </c>
      <c r="B46" s="12">
        <v>1.0</v>
      </c>
      <c r="C46" s="13" t="s">
        <v>20</v>
      </c>
      <c r="D46" s="14" t="str">
        <f>IFERROR(__xludf.DUMMYFUNCTION("LET(
  words, TRANSPOSE(SPLIT($C46,""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)"),"office ng mga software devs")</f>
        <v>office ng mga software devs</v>
      </c>
      <c r="E46" s="15" t="str">
        <f>IFERROR(__xludf.DUMMYFUNCTION("INDEX(SPLIT($C46,"" ""), ROW()-ROW($E$27)+1)
"),"mga")</f>
        <v>mga</v>
      </c>
      <c r="F46" s="12" t="s">
        <v>16</v>
      </c>
      <c r="G46" s="11"/>
      <c r="H46" s="1" t="s">
        <v>0</v>
      </c>
      <c r="I46" s="16"/>
      <c r="J46" s="17"/>
      <c r="K46" s="18" t="s">
        <v>15</v>
      </c>
      <c r="L46" s="17"/>
    </row>
    <row r="47" ht="15.75" customHeight="1">
      <c r="A47" s="11">
        <v>46.0</v>
      </c>
      <c r="B47" s="12">
        <v>1.0</v>
      </c>
      <c r="C47" s="13" t="s">
        <v>20</v>
      </c>
      <c r="D47" s="14" t="str">
        <f>IFERROR(__xludf.DUMMYFUNCTION("LET(
  words, TRANSPOSE(SPLIT($C47,""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)"),"ng mga software devs ng")</f>
        <v>ng mga software devs ng</v>
      </c>
      <c r="E47" s="15" t="str">
        <f>IFERROR(__xludf.DUMMYFUNCTION("INDEX(SPLIT($C47,"" ""), ROW()-ROW($E$27)+1)
"),"software")</f>
        <v>software</v>
      </c>
      <c r="F47" s="12" t="s">
        <v>18</v>
      </c>
      <c r="G47" s="11"/>
      <c r="H47" s="1" t="s">
        <v>0</v>
      </c>
      <c r="I47" s="16"/>
      <c r="J47" s="17"/>
      <c r="K47" s="18" t="s">
        <v>15</v>
      </c>
      <c r="L47" s="17"/>
    </row>
    <row r="48" ht="15.75" customHeight="1">
      <c r="A48" s="11">
        <v>47.0</v>
      </c>
      <c r="B48" s="12">
        <v>1.0</v>
      </c>
      <c r="C48" s="13" t="s">
        <v>20</v>
      </c>
      <c r="D48" s="14" t="str">
        <f>IFERROR(__xludf.DUMMYFUNCTION("LET(
  words, TRANSPOSE(SPLIT($C48,""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)"),"mga software devs ng tatay")</f>
        <v>mga software devs ng tatay</v>
      </c>
      <c r="E48" s="15" t="str">
        <f>IFERROR(__xludf.DUMMYFUNCTION("INDEX(SPLIT($C48,"" ""), ROW()-ROW($E$27)+1)
"),"devs")</f>
        <v>devs</v>
      </c>
      <c r="F48" s="12" t="s">
        <v>18</v>
      </c>
      <c r="G48" s="12" t="s">
        <v>19</v>
      </c>
      <c r="H48" s="1" t="s">
        <v>0</v>
      </c>
      <c r="I48" s="16"/>
      <c r="J48" s="17"/>
      <c r="K48" s="18" t="s">
        <v>15</v>
      </c>
      <c r="L48" s="17"/>
    </row>
    <row r="49" ht="15.75" customHeight="1">
      <c r="A49" s="11">
        <v>48.0</v>
      </c>
      <c r="B49" s="12">
        <v>1.0</v>
      </c>
      <c r="C49" s="13" t="s">
        <v>20</v>
      </c>
      <c r="D49" s="14" t="str">
        <f>IFERROR(__xludf.DUMMYFUNCTION("LET(
  words, TRANSPOSE(SPLIT($C49,""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)"),"software devs ng tatay ko")</f>
        <v>software devs ng tatay ko</v>
      </c>
      <c r="E49" s="15" t="str">
        <f>IFERROR(__xludf.DUMMYFUNCTION("INDEX(SPLIT($C49,"" ""), ROW()-ROW($E$27)+1)
"),"ng")</f>
        <v>ng</v>
      </c>
      <c r="F49" s="12" t="s">
        <v>16</v>
      </c>
      <c r="G49" s="11"/>
      <c r="H49" s="1" t="s">
        <v>0</v>
      </c>
      <c r="I49" s="16"/>
      <c r="J49" s="17"/>
      <c r="K49" s="18" t="s">
        <v>15</v>
      </c>
      <c r="L49" s="17"/>
    </row>
    <row r="50" ht="15.75" customHeight="1">
      <c r="A50" s="11">
        <v>49.0</v>
      </c>
      <c r="B50" s="12">
        <v>1.0</v>
      </c>
      <c r="C50" s="13" t="s">
        <v>20</v>
      </c>
      <c r="D50" s="14" t="str">
        <f>IFERROR(__xludf.DUMMYFUNCTION("LET(
  words, TRANSPOSE(SPLIT($C50,""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)"),"devs ng tatay ko .")</f>
        <v>devs ng tatay ko .</v>
      </c>
      <c r="E50" s="15" t="str">
        <f>IFERROR(__xludf.DUMMYFUNCTION("INDEX(SPLIT($C50,"" ""), ROW()-ROW($E$27)+1)
"),"tatay")</f>
        <v>tatay</v>
      </c>
      <c r="F50" s="12" t="s">
        <v>16</v>
      </c>
      <c r="G50" s="11"/>
      <c r="H50" s="1" t="s">
        <v>0</v>
      </c>
      <c r="I50" s="16"/>
      <c r="J50" s="17"/>
      <c r="K50" s="18" t="s">
        <v>15</v>
      </c>
      <c r="L50" s="17"/>
    </row>
    <row r="51" ht="15.75" customHeight="1">
      <c r="A51" s="11">
        <v>50.0</v>
      </c>
      <c r="B51" s="12">
        <v>1.0</v>
      </c>
      <c r="C51" s="13" t="s">
        <v>20</v>
      </c>
      <c r="D51" s="14" t="str">
        <f>IFERROR(__xludf.DUMMYFUNCTION("LET(
  words, TRANSPOSE(SPLIT($C51,""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)"),"ng tatay ko .")</f>
        <v>ng tatay ko .</v>
      </c>
      <c r="E51" s="15" t="str">
        <f>IFERROR(__xludf.DUMMYFUNCTION("INDEX(SPLIT($C51,"" ""), ROW()-ROW($E$27)+1)
"),"ko")</f>
        <v>ko</v>
      </c>
      <c r="F51" s="12" t="s">
        <v>16</v>
      </c>
      <c r="G51" s="11"/>
      <c r="H51" s="1" t="s">
        <v>0</v>
      </c>
      <c r="I51" s="16"/>
      <c r="J51" s="17"/>
      <c r="K51" s="18" t="s">
        <v>15</v>
      </c>
      <c r="L51" s="17"/>
    </row>
    <row r="52" ht="15.75" customHeight="1">
      <c r="A52" s="19">
        <v>51.0</v>
      </c>
      <c r="B52" s="20">
        <v>1.0</v>
      </c>
      <c r="C52" s="21" t="s">
        <v>20</v>
      </c>
      <c r="D52" s="22" t="str">
        <f>IFERROR(__xludf.DUMMYFUNCTION("LET(
  words, TRANSPOSE(SPLIT($C52,"" "")),
  n, ROWS(words),
  i, ROW() - ROW($D$27)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)"),"tatay ko .")</f>
        <v>tatay ko .</v>
      </c>
      <c r="E52" s="23" t="str">
        <f>IFERROR(__xludf.DUMMYFUNCTION("INDEX(SPLIT($C52,"" ""), ROW()-ROW($E$27)+1)
"),".")</f>
        <v>.</v>
      </c>
      <c r="F52" s="20" t="s">
        <v>17</v>
      </c>
      <c r="G52" s="19"/>
      <c r="H52" s="10" t="s">
        <v>0</v>
      </c>
      <c r="I52" s="24"/>
      <c r="J52" s="25"/>
      <c r="K52" s="26" t="s">
        <v>15</v>
      </c>
      <c r="L52" s="25"/>
    </row>
    <row r="53" ht="15.75" customHeight="1">
      <c r="A53" s="2">
        <v>52.0</v>
      </c>
      <c r="B53" s="1">
        <v>2.0</v>
      </c>
      <c r="C53" s="4" t="s">
        <v>21</v>
      </c>
      <c r="D53" s="5" t="str">
        <f>IFERROR(__xludf.DUMMYFUNCTION("LET(
  words, TRANSPOSE(SPLIT($C53,""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)"),"Hello , binasa")</f>
        <v>Hello , binasa</v>
      </c>
      <c r="E53" s="3" t="str">
        <f>IFERROR(__xludf.DUMMYFUNCTION("INDEX(SPLIT($C53,"" ""), ROW()-ROW($E$53)+1)
"),"Hello")</f>
        <v>Hello</v>
      </c>
      <c r="F53" s="1" t="s">
        <v>18</v>
      </c>
      <c r="G53" s="2"/>
      <c r="H53" s="1" t="s">
        <v>0</v>
      </c>
      <c r="I53" s="27"/>
      <c r="J53" s="28"/>
      <c r="K53" s="29" t="s">
        <v>15</v>
      </c>
      <c r="L53" s="28"/>
    </row>
    <row r="54" ht="15.75" customHeight="1">
      <c r="A54" s="2">
        <v>53.0</v>
      </c>
      <c r="B54" s="1">
        <v>2.0</v>
      </c>
      <c r="C54" s="4" t="s">
        <v>21</v>
      </c>
      <c r="D54" s="5" t="str">
        <f>IFERROR(__xludf.DUMMYFUNCTION("LET(
  words, TRANSPOSE(SPLIT($C54,""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)"),"Hello , binasa ko")</f>
        <v>Hello , binasa ko</v>
      </c>
      <c r="E54" s="3" t="str">
        <f>IFERROR(__xludf.DUMMYFUNCTION("INDEX(SPLIT($C54,"" ""), ROW()-ROW($E$53)+1)
"),",")</f>
        <v>,</v>
      </c>
      <c r="F54" s="1" t="s">
        <v>17</v>
      </c>
      <c r="G54" s="2"/>
      <c r="H54" s="1" t="s">
        <v>0</v>
      </c>
      <c r="I54" s="16"/>
      <c r="J54" s="17"/>
      <c r="K54" s="18" t="s">
        <v>15</v>
      </c>
      <c r="L54" s="17"/>
    </row>
    <row r="55" ht="15.75" customHeight="1">
      <c r="A55" s="2">
        <v>54.0</v>
      </c>
      <c r="B55" s="1">
        <v>2.0</v>
      </c>
      <c r="C55" s="4" t="s">
        <v>21</v>
      </c>
      <c r="D55" s="5" t="str">
        <f>IFERROR(__xludf.DUMMYFUNCTION("LET(
  words, TRANSPOSE(SPLIT($C55,""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)"),"Hello , binasa ko ung")</f>
        <v>Hello , binasa ko ung</v>
      </c>
      <c r="E55" s="3" t="str">
        <f>IFERROR(__xludf.DUMMYFUNCTION("INDEX(SPLIT($C55,"" ""), ROW()-ROW($E$53)+1)
"),"binasa")</f>
        <v>binasa</v>
      </c>
      <c r="F55" s="1" t="s">
        <v>16</v>
      </c>
      <c r="G55" s="2"/>
      <c r="H55" s="1" t="s">
        <v>0</v>
      </c>
      <c r="I55" s="16"/>
      <c r="J55" s="17"/>
      <c r="K55" s="18" t="s">
        <v>15</v>
      </c>
      <c r="L55" s="17"/>
    </row>
    <row r="56" ht="15.75" customHeight="1">
      <c r="A56" s="2">
        <v>55.0</v>
      </c>
      <c r="B56" s="1">
        <v>2.0</v>
      </c>
      <c r="C56" s="4" t="s">
        <v>21</v>
      </c>
      <c r="D56" s="5" t="str">
        <f>IFERROR(__xludf.DUMMYFUNCTION("LET(
  words, TRANSPOSE(SPLIT($C56,""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)"),", binasa ko ung buong")</f>
        <v>, binasa ko ung buong</v>
      </c>
      <c r="E56" s="3" t="str">
        <f>IFERROR(__xludf.DUMMYFUNCTION("INDEX(SPLIT($C56,"" ""), ROW()-ROW($E$53)+1)
"),"ko")</f>
        <v>ko</v>
      </c>
      <c r="F56" s="30" t="s">
        <v>16</v>
      </c>
      <c r="G56" s="31"/>
      <c r="H56" s="1" t="s">
        <v>0</v>
      </c>
      <c r="I56" s="16"/>
      <c r="J56" s="17"/>
      <c r="K56" s="18" t="s">
        <v>15</v>
      </c>
      <c r="L56" s="17"/>
    </row>
    <row r="57" ht="15.75" customHeight="1">
      <c r="A57" s="2">
        <v>56.0</v>
      </c>
      <c r="B57" s="1">
        <v>2.0</v>
      </c>
      <c r="C57" s="4" t="s">
        <v>21</v>
      </c>
      <c r="D57" s="5" t="str">
        <f>IFERROR(__xludf.DUMMYFUNCTION("LET(
  words, TRANSPOSE(SPLIT($C57,""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)"),"binasa ko ung buong document")</f>
        <v>binasa ko ung buong document</v>
      </c>
      <c r="E57" s="3" t="str">
        <f>IFERROR(__xludf.DUMMYFUNCTION("INDEX(SPLIT($C57,"" ""), ROW()-ROW($E$53)+1)
"),"ung")</f>
        <v>ung</v>
      </c>
      <c r="F57" s="30" t="s">
        <v>16</v>
      </c>
      <c r="G57" s="31"/>
      <c r="H57" s="1" t="s">
        <v>0</v>
      </c>
      <c r="I57" s="16"/>
      <c r="J57" s="17"/>
      <c r="K57" s="18" t="s">
        <v>15</v>
      </c>
      <c r="L57" s="17"/>
    </row>
    <row r="58" ht="15.75" customHeight="1">
      <c r="A58" s="2">
        <v>57.0</v>
      </c>
      <c r="B58" s="1">
        <v>2.0</v>
      </c>
      <c r="C58" s="4" t="s">
        <v>21</v>
      </c>
      <c r="D58" s="5" t="str">
        <f>IFERROR(__xludf.DUMMYFUNCTION("LET(
  words, TRANSPOSE(SPLIT($C58,""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)"),"ko ung buong document and")</f>
        <v>ko ung buong document and</v>
      </c>
      <c r="E58" s="3" t="str">
        <f>IFERROR(__xludf.DUMMYFUNCTION("INDEX(SPLIT($C58,"" ""), ROW()-ROW($E$53)+1)
"),"buong")</f>
        <v>buong</v>
      </c>
      <c r="F58" s="30" t="s">
        <v>16</v>
      </c>
      <c r="G58" s="31"/>
      <c r="H58" s="1" t="s">
        <v>0</v>
      </c>
      <c r="I58" s="16"/>
      <c r="J58" s="17"/>
      <c r="K58" s="18" t="s">
        <v>15</v>
      </c>
      <c r="L58" s="17"/>
    </row>
    <row r="59" ht="15.75" customHeight="1">
      <c r="A59" s="2">
        <v>58.0</v>
      </c>
      <c r="B59" s="1">
        <v>2.0</v>
      </c>
      <c r="C59" s="4" t="s">
        <v>21</v>
      </c>
      <c r="D59" s="5" t="str">
        <f>IFERROR(__xludf.DUMMYFUNCTION("LET(
  words, TRANSPOSE(SPLIT($C59,""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)"),"ung buong document and its")</f>
        <v>ung buong document and its</v>
      </c>
      <c r="E59" s="3" t="str">
        <f>IFERROR(__xludf.DUMMYFUNCTION("INDEX(SPLIT($C59,"" ""), ROW()-ROW($E$53)+1)
"),"document")</f>
        <v>document</v>
      </c>
      <c r="F59" s="30" t="s">
        <v>18</v>
      </c>
      <c r="G59" s="31"/>
      <c r="H59" s="1" t="s">
        <v>0</v>
      </c>
      <c r="I59" s="16"/>
      <c r="J59" s="17"/>
      <c r="K59" s="18" t="s">
        <v>15</v>
      </c>
      <c r="L59" s="17"/>
    </row>
    <row r="60" ht="15.75" customHeight="1">
      <c r="A60" s="2">
        <v>59.0</v>
      </c>
      <c r="B60" s="1">
        <v>2.0</v>
      </c>
      <c r="C60" s="4" t="s">
        <v>21</v>
      </c>
      <c r="D60" s="5" t="str">
        <f>IFERROR(__xludf.DUMMYFUNCTION("LET(
  words, TRANSPOSE(SPLIT($C60,""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)"),"buong document and its pretty")</f>
        <v>buong document and its pretty</v>
      </c>
      <c r="E60" s="3" t="str">
        <f>IFERROR(__xludf.DUMMYFUNCTION("INDEX(SPLIT($C60,"" ""), ROW()-ROW($E$53)+1)
"),"and")</f>
        <v>and</v>
      </c>
      <c r="F60" s="30" t="s">
        <v>18</v>
      </c>
      <c r="G60" s="31"/>
      <c r="H60" s="1" t="s">
        <v>0</v>
      </c>
      <c r="I60" s="16"/>
      <c r="J60" s="17"/>
      <c r="K60" s="18" t="s">
        <v>15</v>
      </c>
      <c r="L60" s="17"/>
    </row>
    <row r="61" ht="15.75" customHeight="1">
      <c r="A61" s="2">
        <v>60.0</v>
      </c>
      <c r="B61" s="1">
        <v>2.0</v>
      </c>
      <c r="C61" s="4" t="s">
        <v>21</v>
      </c>
      <c r="D61" s="5" t="str">
        <f>IFERROR(__xludf.DUMMYFUNCTION("LET(
  words, TRANSPOSE(SPLIT($C61,""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)"),"document and its pretty good")</f>
        <v>document and its pretty good</v>
      </c>
      <c r="E61" s="3" t="str">
        <f>IFERROR(__xludf.DUMMYFUNCTION("INDEX(SPLIT($C61,"" ""), ROW()-ROW($E$53)+1)
"),"its")</f>
        <v>its</v>
      </c>
      <c r="F61" s="30" t="s">
        <v>18</v>
      </c>
      <c r="G61" s="31"/>
      <c r="H61" s="1" t="s">
        <v>0</v>
      </c>
      <c r="I61" s="16"/>
      <c r="J61" s="17"/>
      <c r="K61" s="18" t="s">
        <v>15</v>
      </c>
      <c r="L61" s="17"/>
    </row>
    <row r="62" ht="15.75" customHeight="1">
      <c r="A62" s="2">
        <v>61.0</v>
      </c>
      <c r="B62" s="1">
        <v>2.0</v>
      </c>
      <c r="C62" s="4" t="s">
        <v>21</v>
      </c>
      <c r="D62" s="5" t="str">
        <f>IFERROR(__xludf.DUMMYFUNCTION("LET(
  words, TRANSPOSE(SPLIT($C62,""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)"),"and its pretty good na")</f>
        <v>and its pretty good na</v>
      </c>
      <c r="E62" s="3" t="str">
        <f>IFERROR(__xludf.DUMMYFUNCTION("INDEX(SPLIT($C62,"" ""), ROW()-ROW($E$53)+1)
"),"pretty")</f>
        <v>pretty</v>
      </c>
      <c r="F62" s="30" t="s">
        <v>18</v>
      </c>
      <c r="G62" s="31"/>
      <c r="H62" s="1" t="s">
        <v>0</v>
      </c>
      <c r="I62" s="16"/>
      <c r="J62" s="17"/>
      <c r="K62" s="18" t="s">
        <v>15</v>
      </c>
      <c r="L62" s="17"/>
    </row>
    <row r="63" ht="15.75" customHeight="1">
      <c r="A63" s="2">
        <v>62.0</v>
      </c>
      <c r="B63" s="1">
        <v>2.0</v>
      </c>
      <c r="C63" s="4" t="s">
        <v>21</v>
      </c>
      <c r="D63" s="5" t="str">
        <f>IFERROR(__xludf.DUMMYFUNCTION("LET(
  words, TRANSPOSE(SPLIT($C63,""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)"),"its pretty good na pero")</f>
        <v>its pretty good na pero</v>
      </c>
      <c r="E63" s="3" t="str">
        <f>IFERROR(__xludf.DUMMYFUNCTION("INDEX(SPLIT($C63,"" ""), ROW()-ROW($E$53)+1)
"),"good")</f>
        <v>good</v>
      </c>
      <c r="F63" s="30" t="s">
        <v>18</v>
      </c>
      <c r="G63" s="31"/>
      <c r="H63" s="1" t="s">
        <v>0</v>
      </c>
      <c r="I63" s="2"/>
      <c r="J63" s="2"/>
      <c r="K63" s="1" t="s">
        <v>15</v>
      </c>
    </row>
    <row r="64" ht="15.75" customHeight="1">
      <c r="A64" s="2">
        <v>63.0</v>
      </c>
      <c r="B64" s="1">
        <v>2.0</v>
      </c>
      <c r="C64" s="4" t="s">
        <v>21</v>
      </c>
      <c r="D64" s="5" t="str">
        <f>IFERROR(__xludf.DUMMYFUNCTION("LET(
  words, TRANSPOSE(SPLIT($C64,""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)"),"pretty good na pero meron")</f>
        <v>pretty good na pero meron</v>
      </c>
      <c r="E64" s="3" t="str">
        <f>IFERROR(__xludf.DUMMYFUNCTION("INDEX(SPLIT($C64,"" ""), ROW()-ROW($E$53)+1)
"),"na")</f>
        <v>na</v>
      </c>
      <c r="F64" s="30" t="s">
        <v>16</v>
      </c>
      <c r="G64" s="31"/>
      <c r="H64" s="1" t="s">
        <v>0</v>
      </c>
      <c r="I64" s="2"/>
      <c r="J64" s="2"/>
      <c r="K64" s="1" t="s">
        <v>15</v>
      </c>
    </row>
    <row r="65" ht="15.75" customHeight="1">
      <c r="A65" s="2">
        <v>64.0</v>
      </c>
      <c r="B65" s="1">
        <v>2.0</v>
      </c>
      <c r="C65" s="4" t="s">
        <v>21</v>
      </c>
      <c r="D65" s="5" t="str">
        <f>IFERROR(__xludf.DUMMYFUNCTION("LET(
  words, TRANSPOSE(SPLIT($C65,""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)"),"good na pero meron akong")</f>
        <v>good na pero meron akong</v>
      </c>
      <c r="E65" s="3" t="str">
        <f>IFERROR(__xludf.DUMMYFUNCTION("INDEX(SPLIT($C65,"" ""), ROW()-ROW($E$53)+1)
"),"pero")</f>
        <v>pero</v>
      </c>
      <c r="F65" s="30" t="s">
        <v>16</v>
      </c>
      <c r="G65" s="31"/>
      <c r="H65" s="1" t="s">
        <v>0</v>
      </c>
      <c r="I65" s="2"/>
      <c r="J65" s="2"/>
      <c r="K65" s="1" t="s">
        <v>15</v>
      </c>
    </row>
    <row r="66" ht="15.75" customHeight="1">
      <c r="A66" s="2">
        <v>65.0</v>
      </c>
      <c r="B66" s="1">
        <v>2.0</v>
      </c>
      <c r="C66" s="4" t="s">
        <v>21</v>
      </c>
      <c r="D66" s="5" t="str">
        <f>IFERROR(__xludf.DUMMYFUNCTION("LET(
  words, TRANSPOSE(SPLIT($C66,""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)"),"na pero meron akong concern")</f>
        <v>na pero meron akong concern</v>
      </c>
      <c r="E66" s="3" t="str">
        <f>IFERROR(__xludf.DUMMYFUNCTION("INDEX(SPLIT($C66,"" ""), ROW()-ROW($E$53)+1)
"),"meron")</f>
        <v>meron</v>
      </c>
      <c r="F66" s="30" t="s">
        <v>16</v>
      </c>
      <c r="G66" s="31"/>
      <c r="H66" s="1" t="s">
        <v>0</v>
      </c>
      <c r="I66" s="2"/>
      <c r="J66" s="2"/>
      <c r="K66" s="1" t="s">
        <v>15</v>
      </c>
    </row>
    <row r="67" ht="15.75" customHeight="1">
      <c r="A67" s="2">
        <v>66.0</v>
      </c>
      <c r="B67" s="1">
        <v>2.0</v>
      </c>
      <c r="C67" s="4" t="s">
        <v>21</v>
      </c>
      <c r="D67" s="5" t="str">
        <f>IFERROR(__xludf.DUMMYFUNCTION("LET(
  words, TRANSPOSE(SPLIT($C67,""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)"),"pero meron akong concern sa")</f>
        <v>pero meron akong concern sa</v>
      </c>
      <c r="E67" s="3" t="str">
        <f>IFERROR(__xludf.DUMMYFUNCTION("INDEX(SPLIT($C67,"" ""), ROW()-ROW($E$53)+1)
"),"akong")</f>
        <v>akong</v>
      </c>
      <c r="F67" s="30" t="s">
        <v>16</v>
      </c>
      <c r="G67" s="31"/>
      <c r="H67" s="1" t="s">
        <v>0</v>
      </c>
      <c r="I67" s="2"/>
      <c r="J67" s="2"/>
      <c r="K67" s="1" t="s">
        <v>15</v>
      </c>
    </row>
    <row r="68" ht="15.75" customHeight="1">
      <c r="A68" s="2">
        <v>67.0</v>
      </c>
      <c r="B68" s="1">
        <v>2.0</v>
      </c>
      <c r="C68" s="4" t="s">
        <v>21</v>
      </c>
      <c r="D68" s="5" t="str">
        <f>IFERROR(__xludf.DUMMYFUNCTION("LET(
  words, TRANSPOSE(SPLIT($C68,""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)"),"meron akong concern sa conclusion")</f>
        <v>meron akong concern sa conclusion</v>
      </c>
      <c r="E68" s="3" t="str">
        <f>IFERROR(__xludf.DUMMYFUNCTION("INDEX(SPLIT($C68,"" ""), ROW()-ROW($E$53)+1)
"),"concern")</f>
        <v>concern</v>
      </c>
      <c r="F68" s="30" t="s">
        <v>18</v>
      </c>
      <c r="G68" s="31"/>
      <c r="H68" s="1" t="s">
        <v>0</v>
      </c>
      <c r="I68" s="2"/>
      <c r="J68" s="2"/>
      <c r="K68" s="1" t="s">
        <v>15</v>
      </c>
    </row>
    <row r="69" ht="15.75" customHeight="1">
      <c r="A69" s="2">
        <v>68.0</v>
      </c>
      <c r="B69" s="1">
        <v>2.0</v>
      </c>
      <c r="C69" s="4" t="s">
        <v>21</v>
      </c>
      <c r="D69" s="5" t="str">
        <f>IFERROR(__xludf.DUMMYFUNCTION("LET(
  words, TRANSPOSE(SPLIT($C69,""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)"),"akong concern sa conclusion ,")</f>
        <v>akong concern sa conclusion ,</v>
      </c>
      <c r="E69" s="3" t="str">
        <f>IFERROR(__xludf.DUMMYFUNCTION("INDEX(SPLIT($C69,"" ""), ROW()-ROW($E$53)+1)
"),"sa")</f>
        <v>sa</v>
      </c>
      <c r="F69" s="30" t="s">
        <v>16</v>
      </c>
      <c r="G69" s="31"/>
      <c r="H69" s="1" t="s">
        <v>0</v>
      </c>
      <c r="I69" s="2"/>
      <c r="J69" s="2"/>
      <c r="K69" s="1" t="s">
        <v>15</v>
      </c>
    </row>
    <row r="70" ht="15.75" customHeight="1">
      <c r="A70" s="2">
        <v>69.0</v>
      </c>
      <c r="B70" s="1">
        <v>2.0</v>
      </c>
      <c r="C70" s="4" t="s">
        <v>21</v>
      </c>
      <c r="D70" s="5" t="str">
        <f>IFERROR(__xludf.DUMMYFUNCTION("LET(
  words, TRANSPOSE(SPLIT($C70,""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)"),"concern sa conclusion , kasi")</f>
        <v>concern sa conclusion , kasi</v>
      </c>
      <c r="E70" s="3" t="str">
        <f>IFERROR(__xludf.DUMMYFUNCTION("INDEX(SPLIT($C70,"" ""), ROW()-ROW($E$53)+1)
"),"conclusion")</f>
        <v>conclusion</v>
      </c>
      <c r="F70" s="30" t="s">
        <v>18</v>
      </c>
      <c r="G70" s="31"/>
      <c r="H70" s="1" t="s">
        <v>0</v>
      </c>
      <c r="I70" s="2"/>
      <c r="J70" s="2"/>
      <c r="K70" s="1" t="s">
        <v>15</v>
      </c>
    </row>
    <row r="71" ht="15.75" customHeight="1">
      <c r="A71" s="2">
        <v>70.0</v>
      </c>
      <c r="B71" s="1">
        <v>2.0</v>
      </c>
      <c r="C71" s="4" t="s">
        <v>21</v>
      </c>
      <c r="D71" s="5" t="str">
        <f>IFERROR(__xludf.DUMMYFUNCTION("LET(
  words, TRANSPOSE(SPLIT($C71,""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)"),"sa conclusion , kasi kung")</f>
        <v>sa conclusion , kasi kung</v>
      </c>
      <c r="E71" s="3" t="str">
        <f>IFERROR(__xludf.DUMMYFUNCTION("INDEX(SPLIT($C71,"" ""), ROW()-ROW($E$53)+1)
"),",")</f>
        <v>,</v>
      </c>
      <c r="F71" s="30" t="s">
        <v>17</v>
      </c>
      <c r="G71" s="31"/>
      <c r="H71" s="1" t="s">
        <v>0</v>
      </c>
      <c r="I71" s="2"/>
      <c r="J71" s="2"/>
      <c r="K71" s="1" t="s">
        <v>15</v>
      </c>
    </row>
    <row r="72" ht="15.75" customHeight="1">
      <c r="A72" s="2">
        <v>71.0</v>
      </c>
      <c r="B72" s="1">
        <v>2.0</v>
      </c>
      <c r="C72" s="4" t="s">
        <v>21</v>
      </c>
      <c r="D72" s="5" t="str">
        <f>IFERROR(__xludf.DUMMYFUNCTION("LET(
  words, TRANSPOSE(SPLIT($C72,""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)"),"conclusion , kasi kung no")</f>
        <v>conclusion , kasi kung no</v>
      </c>
      <c r="E72" s="3" t="str">
        <f>IFERROR(__xludf.DUMMYFUNCTION("INDEX(SPLIT($C72,"" ""), ROW()-ROW($E$53)+1)
"),"kasi")</f>
        <v>kasi</v>
      </c>
      <c r="F72" s="30" t="s">
        <v>16</v>
      </c>
      <c r="G72" s="31"/>
      <c r="H72" s="1" t="s">
        <v>0</v>
      </c>
      <c r="I72" s="2"/>
      <c r="J72" s="2"/>
      <c r="K72" s="1" t="s">
        <v>15</v>
      </c>
    </row>
    <row r="73" ht="15.75" customHeight="1">
      <c r="A73" s="2">
        <v>72.0</v>
      </c>
      <c r="B73" s="1">
        <v>2.0</v>
      </c>
      <c r="C73" s="4" t="s">
        <v>21</v>
      </c>
      <c r="D73" s="5" t="str">
        <f>IFERROR(__xludf.DUMMYFUNCTION("LET(
  words, TRANSPOSE(SPLIT($C73,""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)"),", kasi kung no new")</f>
        <v>, kasi kung no new</v>
      </c>
      <c r="E73" s="3" t="str">
        <f>IFERROR(__xludf.DUMMYFUNCTION("INDEX(SPLIT($C73,"" ""), ROW()-ROW($E$53)+1)
"),"kung")</f>
        <v>kung</v>
      </c>
      <c r="F73" s="1" t="s">
        <v>16</v>
      </c>
      <c r="G73" s="2"/>
      <c r="H73" s="1" t="s">
        <v>0</v>
      </c>
      <c r="I73" s="2"/>
      <c r="J73" s="2"/>
      <c r="K73" s="1" t="s">
        <v>15</v>
      </c>
    </row>
    <row r="74" ht="15.75" customHeight="1">
      <c r="A74" s="2">
        <v>73.0</v>
      </c>
      <c r="B74" s="1">
        <v>2.0</v>
      </c>
      <c r="C74" s="4" t="s">
        <v>21</v>
      </c>
      <c r="D74" s="5" t="str">
        <f>IFERROR(__xludf.DUMMYFUNCTION("LET(
  words, TRANSPOSE(SPLIT($C74,""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)"),"kasi kung no new references")</f>
        <v>kasi kung no new references</v>
      </c>
      <c r="E74" s="3" t="str">
        <f>IFERROR(__xludf.DUMMYFUNCTION("INDEX(SPLIT($C74,"" ""), ROW()-ROW($E$53)+1)
"),"no")</f>
        <v>no</v>
      </c>
      <c r="F74" s="1" t="s">
        <v>18</v>
      </c>
      <c r="G74" s="2"/>
      <c r="H74" s="1" t="s">
        <v>0</v>
      </c>
      <c r="I74" s="2"/>
      <c r="J74" s="2"/>
      <c r="K74" s="1" t="s">
        <v>15</v>
      </c>
    </row>
    <row r="75" ht="15.75" customHeight="1">
      <c r="A75" s="2">
        <v>74.0</v>
      </c>
      <c r="B75" s="1">
        <v>2.0</v>
      </c>
      <c r="C75" s="4" t="s">
        <v>21</v>
      </c>
      <c r="D75" s="5" t="str">
        <f>IFERROR(__xludf.DUMMYFUNCTION("LET(
  words, TRANSPOSE(SPLIT($C75,""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)"),"kung no new references maayos")</f>
        <v>kung no new references maayos</v>
      </c>
      <c r="E75" s="3" t="str">
        <f>IFERROR(__xludf.DUMMYFUNCTION("INDEX(SPLIT($C75,"" ""), ROW()-ROW($E$53)+1)
"),"new")</f>
        <v>new</v>
      </c>
      <c r="F75" s="1" t="s">
        <v>18</v>
      </c>
      <c r="G75" s="2"/>
      <c r="H75" s="1" t="s">
        <v>0</v>
      </c>
      <c r="I75" s="2"/>
      <c r="J75" s="2"/>
      <c r="K75" s="1" t="s">
        <v>15</v>
      </c>
    </row>
    <row r="76" ht="15.75" customHeight="1">
      <c r="A76" s="2">
        <v>75.0</v>
      </c>
      <c r="B76" s="1">
        <v>2.0</v>
      </c>
      <c r="C76" s="4" t="s">
        <v>21</v>
      </c>
      <c r="D76" s="5" t="str">
        <f>IFERROR(__xludf.DUMMYFUNCTION("LET(
  words, TRANSPOSE(SPLIT($C76,""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)"),"no new references maayos naman")</f>
        <v>no new references maayos naman</v>
      </c>
      <c r="E76" s="3" t="str">
        <f>IFERROR(__xludf.DUMMYFUNCTION("INDEX(SPLIT($C76,"" ""), ROW()-ROW($E$53)+1)
"),"references")</f>
        <v>references</v>
      </c>
      <c r="F76" s="1" t="s">
        <v>18</v>
      </c>
      <c r="G76" s="2"/>
      <c r="H76" s="1" t="s">
        <v>0</v>
      </c>
      <c r="I76" s="2"/>
      <c r="J76" s="2"/>
      <c r="K76" s="1" t="s">
        <v>15</v>
      </c>
    </row>
    <row r="77" ht="15.75" customHeight="1">
      <c r="A77" s="2">
        <v>76.0</v>
      </c>
      <c r="B77" s="1">
        <v>2.0</v>
      </c>
      <c r="C77" s="4" t="s">
        <v>21</v>
      </c>
      <c r="D77" s="5" t="str">
        <f>IFERROR(__xludf.DUMMYFUNCTION("LET(
  words, TRANSPOSE(SPLIT($C77,""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)"),"new references maayos naman yun")</f>
        <v>new references maayos naman yun</v>
      </c>
      <c r="E77" s="3" t="str">
        <f>IFERROR(__xludf.DUMMYFUNCTION("INDEX(SPLIT($C77,"" ""), ROW()-ROW($E$53)+1)
"),"maayos")</f>
        <v>maayos</v>
      </c>
      <c r="F77" s="1" t="s">
        <v>16</v>
      </c>
      <c r="G77" s="2"/>
      <c r="H77" s="1" t="s">
        <v>0</v>
      </c>
      <c r="I77" s="16"/>
      <c r="J77" s="17"/>
      <c r="K77" s="18" t="s">
        <v>15</v>
      </c>
      <c r="L77" s="17"/>
    </row>
    <row r="78" ht="15.75" customHeight="1">
      <c r="A78" s="2">
        <v>77.0</v>
      </c>
      <c r="B78" s="1">
        <v>2.0</v>
      </c>
      <c r="C78" s="4" t="s">
        <v>21</v>
      </c>
      <c r="D78" s="5" t="str">
        <f>IFERROR(__xludf.DUMMYFUNCTION("LET(
  words, TRANSPOSE(SPLIT($C78,""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)"),"references maayos naman yun but")</f>
        <v>references maayos naman yun but</v>
      </c>
      <c r="E78" s="3" t="str">
        <f>IFERROR(__xludf.DUMMYFUNCTION("INDEX(SPLIT($C78,"" ""), ROW()-ROW($E$53)+1)
"),"naman")</f>
        <v>naman</v>
      </c>
      <c r="F78" s="1" t="s">
        <v>16</v>
      </c>
      <c r="G78" s="2"/>
      <c r="H78" s="1" t="s">
        <v>0</v>
      </c>
      <c r="I78" s="16"/>
      <c r="J78" s="17"/>
      <c r="K78" s="18" t="s">
        <v>15</v>
      </c>
      <c r="L78" s="17"/>
    </row>
    <row r="79" ht="15.75" customHeight="1">
      <c r="A79" s="2">
        <v>78.0</v>
      </c>
      <c r="B79" s="1">
        <v>2.0</v>
      </c>
      <c r="C79" s="4" t="s">
        <v>21</v>
      </c>
      <c r="D79" s="5" t="str">
        <f>IFERROR(__xludf.DUMMYFUNCTION("LET(
  words, TRANSPOSE(SPLIT($C79,""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)"),"maayos naman yun but kung")</f>
        <v>maayos naman yun but kung</v>
      </c>
      <c r="E79" s="3" t="str">
        <f>IFERROR(__xludf.DUMMYFUNCTION("INDEX(SPLIT($C79,"" ""), ROW()-ROW($E$53)+1)
"),"yun")</f>
        <v>yun</v>
      </c>
      <c r="F79" s="1" t="s">
        <v>16</v>
      </c>
      <c r="G79" s="2"/>
      <c r="H79" s="1" t="s">
        <v>0</v>
      </c>
      <c r="I79" s="16"/>
      <c r="J79" s="17"/>
      <c r="K79" s="18" t="s">
        <v>15</v>
      </c>
      <c r="L79" s="17"/>
    </row>
    <row r="80" ht="15.75" customHeight="1">
      <c r="A80" s="2">
        <v>79.0</v>
      </c>
      <c r="B80" s="1">
        <v>2.0</v>
      </c>
      <c r="C80" s="4" t="s">
        <v>21</v>
      </c>
      <c r="D80" s="5" t="str">
        <f>IFERROR(__xludf.DUMMYFUNCTION("LET(
  words, TRANSPOSE(SPLIT($C80,""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)"),"naman yun but kung maraming")</f>
        <v>naman yun but kung maraming</v>
      </c>
      <c r="E80" s="3" t="str">
        <f>IFERROR(__xludf.DUMMYFUNCTION("INDEX(SPLIT($C80,"" ""), ROW()-ROW($E$53)+1)
"),"but")</f>
        <v>but</v>
      </c>
      <c r="F80" s="1" t="s">
        <v>18</v>
      </c>
      <c r="G80" s="2"/>
      <c r="H80" s="1" t="s">
        <v>0</v>
      </c>
      <c r="I80" s="16"/>
      <c r="J80" s="17"/>
      <c r="K80" s="18" t="s">
        <v>15</v>
      </c>
      <c r="L80" s="17"/>
    </row>
    <row r="81" ht="15.75" customHeight="1">
      <c r="A81" s="2">
        <v>80.0</v>
      </c>
      <c r="B81" s="1">
        <v>2.0</v>
      </c>
      <c r="C81" s="4" t="s">
        <v>21</v>
      </c>
      <c r="D81" s="5" t="str">
        <f>IFERROR(__xludf.DUMMYFUNCTION("LET(
  words, TRANSPOSE(SPLIT($C81,""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)"),"yun but kung maraming in-text")</f>
        <v>yun but kung maraming in-text</v>
      </c>
      <c r="E81" s="3" t="str">
        <f>IFERROR(__xludf.DUMMYFUNCTION("INDEX(SPLIT($C81,"" ""), ROW()-ROW($E$53)+1)
"),"kung")</f>
        <v>kung</v>
      </c>
      <c r="F81" s="1" t="s">
        <v>16</v>
      </c>
      <c r="G81" s="2"/>
      <c r="H81" s="1" t="s">
        <v>0</v>
      </c>
      <c r="I81" s="16"/>
      <c r="J81" s="17"/>
      <c r="K81" s="18" t="s">
        <v>15</v>
      </c>
      <c r="L81" s="17"/>
    </row>
    <row r="82" ht="15.75" customHeight="1">
      <c r="A82" s="2">
        <v>81.0</v>
      </c>
      <c r="B82" s="1">
        <v>2.0</v>
      </c>
      <c r="C82" s="4" t="s">
        <v>21</v>
      </c>
      <c r="D82" s="5" t="str">
        <f>IFERROR(__xludf.DUMMYFUNCTION("LET(
  words, TRANSPOSE(SPLIT($C82,""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)"),"but kung maraming in-text citations")</f>
        <v>but kung maraming in-text citations</v>
      </c>
      <c r="E82" s="3" t="str">
        <f>IFERROR(__xludf.DUMMYFUNCTION("INDEX(SPLIT($C82,"" ""), ROW()-ROW($E$53)+1)
"),"maraming")</f>
        <v>maraming</v>
      </c>
      <c r="F82" s="1" t="s">
        <v>16</v>
      </c>
      <c r="G82" s="2"/>
      <c r="H82" s="1" t="s">
        <v>0</v>
      </c>
      <c r="I82" s="16"/>
      <c r="J82" s="17"/>
      <c r="K82" s="18" t="s">
        <v>15</v>
      </c>
      <c r="L82" s="17"/>
    </row>
    <row r="83" ht="15.75" customHeight="1">
      <c r="A83" s="2">
        <v>82.0</v>
      </c>
      <c r="B83" s="1">
        <v>2.0</v>
      </c>
      <c r="C83" s="4" t="s">
        <v>21</v>
      </c>
      <c r="D83" s="5" t="str">
        <f>IFERROR(__xludf.DUMMYFUNCTION("LET(
  words, TRANSPOSE(SPLIT($C83,""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)"),"kung maraming in-text citations di")</f>
        <v>kung maraming in-text citations di</v>
      </c>
      <c r="E83" s="3" t="str">
        <f>IFERROR(__xludf.DUMMYFUNCTION("INDEX(SPLIT($C83,"" ""), ROW()-ROW($E$53)+1)
"),"in-text")</f>
        <v>in-text</v>
      </c>
      <c r="F83" s="1" t="s">
        <v>18</v>
      </c>
      <c r="G83" s="2"/>
      <c r="H83" s="1" t="s">
        <v>0</v>
      </c>
      <c r="I83" s="16"/>
      <c r="J83" s="17"/>
      <c r="K83" s="18" t="s">
        <v>15</v>
      </c>
      <c r="L83" s="17"/>
    </row>
    <row r="84" ht="15.75" customHeight="1">
      <c r="A84" s="2">
        <v>83.0</v>
      </c>
      <c r="B84" s="1">
        <v>2.0</v>
      </c>
      <c r="C84" s="4" t="s">
        <v>21</v>
      </c>
      <c r="D84" s="5" t="str">
        <f>IFERROR(__xludf.DUMMYFUNCTION("LET(
  words, TRANSPOSE(SPLIT($C84,""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)"),"maraming in-text citations di na")</f>
        <v>maraming in-text citations di na</v>
      </c>
      <c r="E84" s="3" t="str">
        <f>IFERROR(__xludf.DUMMYFUNCTION("INDEX(SPLIT($C84,"" ""), ROW()-ROW($E$53)+1)
"),"citations")</f>
        <v>citations</v>
      </c>
      <c r="F84" s="1" t="s">
        <v>18</v>
      </c>
      <c r="G84" s="2"/>
      <c r="H84" s="1" t="s">
        <v>0</v>
      </c>
      <c r="I84" s="16"/>
      <c r="J84" s="17"/>
      <c r="K84" s="18" t="s">
        <v>15</v>
      </c>
      <c r="L84" s="17"/>
    </row>
    <row r="85" ht="15.75" customHeight="1">
      <c r="A85" s="2">
        <v>84.0</v>
      </c>
      <c r="B85" s="1">
        <v>2.0</v>
      </c>
      <c r="C85" s="4" t="s">
        <v>21</v>
      </c>
      <c r="D85" s="5" t="str">
        <f>IFERROR(__xludf.DUMMYFUNCTION("LET(
  words, TRANSPOSE(SPLIT($C85,""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)"),"in-text citations di na ko")</f>
        <v>in-text citations di na ko</v>
      </c>
      <c r="E85" s="3" t="str">
        <f>IFERROR(__xludf.DUMMYFUNCTION("INDEX(SPLIT($C85,"" ""), ROW()-ROW($E$53)+1)
"),"di")</f>
        <v>di</v>
      </c>
      <c r="F85" s="1" t="s">
        <v>16</v>
      </c>
      <c r="G85" s="2"/>
      <c r="H85" s="1" t="s">
        <v>0</v>
      </c>
      <c r="I85" s="16"/>
      <c r="J85" s="17"/>
      <c r="K85" s="18" t="s">
        <v>15</v>
      </c>
      <c r="L85" s="17"/>
    </row>
    <row r="86" ht="15.75" customHeight="1">
      <c r="A86" s="2">
        <v>85.0</v>
      </c>
      <c r="B86" s="1">
        <v>2.0</v>
      </c>
      <c r="C86" s="4" t="s">
        <v>21</v>
      </c>
      <c r="D86" s="5" t="str">
        <f>IFERROR(__xludf.DUMMYFUNCTION("LET(
  words, TRANSPOSE(SPLIT($C86,""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)"),"citations di na ko sure")</f>
        <v>citations di na ko sure</v>
      </c>
      <c r="E86" s="3" t="str">
        <f>IFERROR(__xludf.DUMMYFUNCTION("INDEX(SPLIT($C86,"" ""), ROW()-ROW($E$53)+1)
"),"na")</f>
        <v>na</v>
      </c>
      <c r="F86" s="1" t="s">
        <v>16</v>
      </c>
      <c r="G86" s="2"/>
      <c r="H86" s="1" t="s">
        <v>0</v>
      </c>
      <c r="I86" s="16"/>
      <c r="J86" s="17"/>
      <c r="K86" s="18" t="s">
        <v>15</v>
      </c>
      <c r="L86" s="17"/>
    </row>
    <row r="87" ht="15.75" customHeight="1">
      <c r="A87" s="2">
        <v>86.0</v>
      </c>
      <c r="B87" s="1">
        <v>2.0</v>
      </c>
      <c r="C87" s="4" t="s">
        <v>21</v>
      </c>
      <c r="D87" s="5" t="str">
        <f>IFERROR(__xludf.DUMMYFUNCTION("LET(
  words, TRANSPOSE(SPLIT($C87,""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)"),"di na ko sure hehe")</f>
        <v>di na ko sure hehe</v>
      </c>
      <c r="E87" s="3" t="str">
        <f>IFERROR(__xludf.DUMMYFUNCTION("INDEX(SPLIT($C87,"" ""), ROW()-ROW($E$53)+1)
"),"ko")</f>
        <v>ko</v>
      </c>
      <c r="F87" s="30" t="s">
        <v>16</v>
      </c>
      <c r="G87" s="31"/>
      <c r="H87" s="1" t="s">
        <v>0</v>
      </c>
      <c r="I87" s="16"/>
      <c r="J87" s="17"/>
      <c r="K87" s="18" t="s">
        <v>15</v>
      </c>
      <c r="L87" s="17"/>
    </row>
    <row r="88" ht="15.75" customHeight="1">
      <c r="A88" s="2">
        <v>87.0</v>
      </c>
      <c r="B88" s="1">
        <v>2.0</v>
      </c>
      <c r="C88" s="4" t="s">
        <v>21</v>
      </c>
      <c r="D88" s="5" t="str">
        <f>IFERROR(__xludf.DUMMYFUNCTION("LET(
  words, TRANSPOSE(SPLIT($C88,""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)"),"na ko sure hehe .")</f>
        <v>na ko sure hehe .</v>
      </c>
      <c r="E88" s="3" t="str">
        <f>IFERROR(__xludf.DUMMYFUNCTION("INDEX(SPLIT($C88,"" ""), ROW()-ROW($E$53)+1)
"),"sure")</f>
        <v>sure</v>
      </c>
      <c r="F88" s="30" t="s">
        <v>18</v>
      </c>
      <c r="G88" s="31"/>
      <c r="H88" s="1" t="s">
        <v>0</v>
      </c>
      <c r="I88" s="2"/>
      <c r="J88" s="2"/>
      <c r="K88" s="1" t="s">
        <v>15</v>
      </c>
    </row>
    <row r="89" ht="15.75" customHeight="1">
      <c r="A89" s="2">
        <v>88.0</v>
      </c>
      <c r="B89" s="1">
        <v>2.0</v>
      </c>
      <c r="C89" s="4" t="s">
        <v>21</v>
      </c>
      <c r="D89" s="5" t="str">
        <f>IFERROR(__xludf.DUMMYFUNCTION("LET(
  words, TRANSPOSE(SPLIT($C89,""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)"),"ko sure hehe .")</f>
        <v>ko sure hehe .</v>
      </c>
      <c r="E89" s="3" t="str">
        <f>IFERROR(__xludf.DUMMYFUNCTION("INDEX(SPLIT($C89,"" ""), ROW()-ROW($E$53)+1)
"),"hehe")</f>
        <v>hehe</v>
      </c>
      <c r="F89" s="30" t="s">
        <v>13</v>
      </c>
      <c r="G89" s="30" t="s">
        <v>14</v>
      </c>
      <c r="H89" s="1" t="s">
        <v>0</v>
      </c>
      <c r="I89" s="2"/>
      <c r="J89" s="2"/>
      <c r="K89" s="1" t="s">
        <v>15</v>
      </c>
    </row>
    <row r="90" ht="15.75" customHeight="1">
      <c r="A90" s="6">
        <v>89.0</v>
      </c>
      <c r="B90" s="10">
        <v>2.0</v>
      </c>
      <c r="C90" s="7" t="s">
        <v>21</v>
      </c>
      <c r="D90" s="8" t="str">
        <f>IFERROR(__xludf.DUMMYFUNCTION("LET(
  words, TRANSPOSE(SPLIT($C90,"" "")),
  n, ROWS(words),
  i, ROW() - ROW($D$53)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)"),"sure hehe .")</f>
        <v>sure hehe .</v>
      </c>
      <c r="E90" s="9" t="str">
        <f>IFERROR(__xludf.DUMMYFUNCTION("INDEX(SPLIT($C90,"" ""), ROW()-ROW($E$53)+1)
"),".")</f>
        <v>.</v>
      </c>
      <c r="F90" s="32" t="s">
        <v>17</v>
      </c>
      <c r="G90" s="33"/>
      <c r="H90" s="10" t="s">
        <v>0</v>
      </c>
      <c r="I90" s="6"/>
      <c r="J90" s="6"/>
      <c r="K90" s="10" t="s">
        <v>15</v>
      </c>
      <c r="L90" s="6"/>
    </row>
    <row r="91" ht="15.75" customHeight="1">
      <c r="A91" s="11">
        <v>90.0</v>
      </c>
      <c r="B91" s="12">
        <v>3.0</v>
      </c>
      <c r="C91" s="13" t="s">
        <v>22</v>
      </c>
      <c r="D91" s="14" t="str">
        <f>IFERROR(__xludf.DUMMYFUNCTION("LET(
  words, TRANSPOSE(SPLIT($C91,"" "")),
  n, ROWS(words),
  i, ROW() - ROW($D$91)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)"),"Pa-last check nalang")</f>
        <v>Pa-last check nalang</v>
      </c>
      <c r="E91" s="15" t="str">
        <f>IFERROR(__xludf.DUMMYFUNCTION("INDEX(SPLIT($C91,"" ""), ROW()-ROW($E$91)+1)
"),"Pa-last")</f>
        <v>Pa-last</v>
      </c>
      <c r="F91" s="12" t="s">
        <v>23</v>
      </c>
      <c r="G91" s="11"/>
      <c r="H91" s="1" t="s">
        <v>0</v>
      </c>
      <c r="I91" s="2"/>
      <c r="J91" s="2"/>
      <c r="K91" s="1" t="s">
        <v>15</v>
      </c>
    </row>
    <row r="92" ht="15.75" customHeight="1">
      <c r="A92" s="11">
        <v>91.0</v>
      </c>
      <c r="B92" s="12">
        <v>3.0</v>
      </c>
      <c r="C92" s="13" t="s">
        <v>22</v>
      </c>
      <c r="D92" s="14" t="str">
        <f>IFERROR(__xludf.DUMMYFUNCTION("LET(
  words, TRANSPOSE(SPLIT($C92,"" "")),
  n, ROWS(words),
  i, ROW() - ROW($D$91)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)"),"Pa-last check nalang ng")</f>
        <v>Pa-last check nalang ng</v>
      </c>
      <c r="E92" s="15" t="str">
        <f>IFERROR(__xludf.DUMMYFUNCTION("INDEX(SPLIT($C92,"" ""), ROW()-ROW($E$91)+1)
"),"check")</f>
        <v>check</v>
      </c>
      <c r="F92" s="12" t="s">
        <v>18</v>
      </c>
      <c r="G92" s="11"/>
      <c r="H92" s="1" t="s">
        <v>0</v>
      </c>
      <c r="I92" s="2"/>
      <c r="J92" s="2"/>
      <c r="K92" s="1" t="s">
        <v>15</v>
      </c>
    </row>
    <row r="93" ht="15.75" customHeight="1">
      <c r="A93" s="11">
        <v>92.0</v>
      </c>
      <c r="B93" s="12">
        <v>3.0</v>
      </c>
      <c r="C93" s="13" t="s">
        <v>22</v>
      </c>
      <c r="D93" s="14" t="str">
        <f>IFERROR(__xludf.DUMMYFUNCTION("LET(
  words, TRANSPOSE(SPLIT($C93,"" "")),
  n, ROWS(words),
  i, ROW() - ROW($D$91)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)"),"Pa-last check nalang ng paper")</f>
        <v>Pa-last check nalang ng paper</v>
      </c>
      <c r="E93" s="15" t="str">
        <f>IFERROR(__xludf.DUMMYFUNCTION("INDEX(SPLIT($C93,"" ""), ROW()-ROW($E$91)+1)
"),"nalang")</f>
        <v>nalang</v>
      </c>
      <c r="F93" s="12" t="s">
        <v>16</v>
      </c>
      <c r="G93" s="11"/>
      <c r="H93" s="1" t="s">
        <v>0</v>
      </c>
      <c r="I93" s="2"/>
      <c r="J93" s="2"/>
      <c r="K93" s="1" t="s">
        <v>15</v>
      </c>
    </row>
    <row r="94" ht="15.75" customHeight="1">
      <c r="A94" s="11">
        <v>93.0</v>
      </c>
      <c r="B94" s="12">
        <v>3.0</v>
      </c>
      <c r="C94" s="13" t="s">
        <v>22</v>
      </c>
      <c r="D94" s="14" t="str">
        <f>IFERROR(__xludf.DUMMYFUNCTION("LET(
  words, TRANSPOSE(SPLIT($C94,"" "")),
  n, ROWS(words),
  i, ROW() - ROW($D$91)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)"),"check nalang ng paper @")</f>
        <v>check nalang ng paper @</v>
      </c>
      <c r="E94" s="15" t="str">
        <f>IFERROR(__xludf.DUMMYFUNCTION("INDEX(SPLIT($C94,"" ""), ROW()-ROW($E$91)+1)
"),"ng")</f>
        <v>ng</v>
      </c>
      <c r="F94" s="34" t="s">
        <v>16</v>
      </c>
      <c r="G94" s="35"/>
      <c r="H94" s="1" t="s">
        <v>0</v>
      </c>
      <c r="I94" s="16"/>
      <c r="J94" s="17"/>
      <c r="K94" s="18" t="s">
        <v>15</v>
      </c>
      <c r="L94" s="17"/>
    </row>
    <row r="95" ht="15.75" customHeight="1">
      <c r="A95" s="11">
        <v>94.0</v>
      </c>
      <c r="B95" s="12">
        <v>3.0</v>
      </c>
      <c r="C95" s="13" t="s">
        <v>22</v>
      </c>
      <c r="D95" s="14" t="str">
        <f>IFERROR(__xludf.DUMMYFUNCTION("LET(
  words, TRANSPOSE(SPLIT($C95,"" "")),
  n, ROWS(words),
  i, ROW() - ROW($D$91)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)"),"nalang ng paper @ everyone")</f>
        <v>nalang ng paper @ everyone</v>
      </c>
      <c r="E95" s="15" t="str">
        <f>IFERROR(__xludf.DUMMYFUNCTION("INDEX(SPLIT($C95,"" ""), ROW()-ROW($E$91)+1)
"),"paper")</f>
        <v>paper</v>
      </c>
      <c r="F95" s="34" t="s">
        <v>18</v>
      </c>
      <c r="G95" s="35"/>
      <c r="H95" s="1" t="s">
        <v>0</v>
      </c>
      <c r="I95" s="16"/>
      <c r="J95" s="17"/>
      <c r="K95" s="18" t="s">
        <v>15</v>
      </c>
      <c r="L95" s="17"/>
    </row>
    <row r="96" ht="15.75" customHeight="1">
      <c r="A96" s="11">
        <v>95.0</v>
      </c>
      <c r="B96" s="12">
        <v>3.0</v>
      </c>
      <c r="C96" s="13" t="s">
        <v>22</v>
      </c>
      <c r="D96" s="14" t="str">
        <f>IFERROR(__xludf.DUMMYFUNCTION("LET(
  words, TRANSPOSE(SPLIT($C96,"" "")),
  n, ROWS(words),
  i, ROW() - ROW($D$91)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)"),"ng paper @ everyone dhil")</f>
        <v>ng paper @ everyone dhil</v>
      </c>
      <c r="E96" s="15" t="str">
        <f>IFERROR(__xludf.DUMMYFUNCTION("INDEX(SPLIT($C96,"" ""), ROW()-ROW($E$91)+1)
"),"@")</f>
        <v>@</v>
      </c>
      <c r="F96" s="34" t="s">
        <v>17</v>
      </c>
      <c r="G96" s="35"/>
      <c r="H96" s="1" t="s">
        <v>0</v>
      </c>
      <c r="I96" s="16"/>
      <c r="J96" s="17"/>
      <c r="K96" s="18" t="s">
        <v>15</v>
      </c>
      <c r="L96" s="17"/>
    </row>
    <row r="97" ht="15.75" customHeight="1">
      <c r="A97" s="11">
        <v>96.0</v>
      </c>
      <c r="B97" s="12">
        <v>3.0</v>
      </c>
      <c r="C97" s="13" t="s">
        <v>22</v>
      </c>
      <c r="D97" s="14" t="str">
        <f>IFERROR(__xludf.DUMMYFUNCTION("LET(
  words, TRANSPOSE(SPLIT($C97,"" "")),
  n, ROWS(words),
  i, ROW() - ROW($D$91)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)"),"paper @ everyone dhil inayos")</f>
        <v>paper @ everyone dhil inayos</v>
      </c>
      <c r="E97" s="15" t="str">
        <f>IFERROR(__xludf.DUMMYFUNCTION("INDEX(SPLIT($C97,"" ""), ROW()-ROW($E$91)+1)
"),"everyone")</f>
        <v>everyone</v>
      </c>
      <c r="F97" s="34" t="s">
        <v>18</v>
      </c>
      <c r="G97" s="35"/>
      <c r="H97" s="1" t="s">
        <v>0</v>
      </c>
      <c r="I97" s="16"/>
      <c r="J97" s="17"/>
      <c r="K97" s="18" t="s">
        <v>15</v>
      </c>
      <c r="L97" s="17"/>
    </row>
    <row r="98" ht="15.75" customHeight="1">
      <c r="A98" s="11">
        <v>97.0</v>
      </c>
      <c r="B98" s="12">
        <v>3.0</v>
      </c>
      <c r="C98" s="13" t="s">
        <v>22</v>
      </c>
      <c r="D98" s="14" t="str">
        <f>IFERROR(__xludf.DUMMYFUNCTION("LET(
  words, TRANSPOSE(SPLIT($C98,"" "")),
  n, ROWS(words),
  i, ROW() - ROW($D$91)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)"),"@ everyone dhil inayos ko")</f>
        <v>@ everyone dhil inayos ko</v>
      </c>
      <c r="E98" s="15" t="str">
        <f>IFERROR(__xludf.DUMMYFUNCTION("INDEX(SPLIT($C98,"" ""), ROW()-ROW($E$91)+1)
"),"dhil")</f>
        <v>dhil</v>
      </c>
      <c r="F98" s="34" t="s">
        <v>16</v>
      </c>
      <c r="G98" s="34" t="s">
        <v>19</v>
      </c>
      <c r="H98" s="1" t="s">
        <v>0</v>
      </c>
      <c r="I98" s="16"/>
      <c r="J98" s="17"/>
      <c r="K98" s="18" t="s">
        <v>15</v>
      </c>
      <c r="L98" s="17"/>
    </row>
    <row r="99" ht="15.75" customHeight="1">
      <c r="A99" s="11">
        <v>98.0</v>
      </c>
      <c r="B99" s="12">
        <v>3.0</v>
      </c>
      <c r="C99" s="13" t="s">
        <v>22</v>
      </c>
      <c r="D99" s="14" t="str">
        <f>IFERROR(__xludf.DUMMYFUNCTION("LET(
  words, TRANSPOSE(SPLIT($C99,"" "")),
  n, ROWS(words),
  i, ROW() - ROW($D$91) + 1,
  window, 5,
  minWin, 3,
  half, INT(window/2),
  start, MAX(1, i - half),
  stop, MIN(n, i + half),
  size, stop - start + 1,
  adjHalf, IF(size &lt; minWin, INT((mi"&amp;"nWin - size)/2), 0),
  newStart, MAX(1, start - adjHalf),
  newStop, MIN(n, stop + adjHalf),
  positions, SEQUENCE(n),
  wordSlice, FILTER(words, (positions&gt;=newStart)*(positions&lt;=newStop)),
  TEXTJOIN("" "", TRUE, wordSlice)
)"),"everyone dhil inayos ko na")</f>
        <v>everyone dhil inayos ko na</v>
      </c>
      <c r="E99" s="15" t="str">
        <f>IFERROR(__xludf.DUMMYFUNCTION("INDEX(SPLIT($C99,"" ""), ROW()-ROW($E$91)+1)
"),"inayos")</f>
        <v>inayos</v>
      </c>
      <c r="F99" s="34" t="s">
        <v>16</v>
      </c>
      <c r="G99" s="35"/>
      <c r="H99" s="1" t="s">
        <v>0</v>
      </c>
      <c r="I99" s="16"/>
      <c r="J99" s="17"/>
      <c r="K99" s="18" t="s">
        <v>15</v>
      </c>
      <c r="L99" s="17"/>
    </row>
    <row r="100" ht="15.75" customHeight="1">
      <c r="A100" s="11">
        <v>99.0</v>
      </c>
      <c r="B100" s="12">
        <v>3.0</v>
      </c>
      <c r="C100" s="13" t="s">
        <v>22</v>
      </c>
      <c r="D100" s="14" t="str">
        <f>IFERROR(__xludf.DUMMYFUNCTION("LET(
  words, TRANSPOSE(SPLIT($C100,"" "")),
  n, ROWS(words),
  i, ROW() - ROW($D$91) + 1,
  window, 5,
  minWin, 3,
  half, INT(window/2),
  start, MAX(1, i - half),
  stop, MIN(n, i + half),
  size, stop - start + 1,
  adjHalf, IF(size &lt; minWin, INT((m"&amp;"inWin - size)/2), 0),
  newStart, MAX(1, start - adjHalf),
  newStop, MIN(n, stop + adjHalf),
  positions, SEQUENCE(n),
  wordSlice, FILTER(words, (positions&gt;=newStart)*(positions&lt;=newStop)),
  TEXTJOIN("" "", TRUE, wordSlice)
)"),"dhil inayos ko na ung")</f>
        <v>dhil inayos ko na ung</v>
      </c>
      <c r="E100" s="15" t="str">
        <f>IFERROR(__xludf.DUMMYFUNCTION("INDEX(SPLIT($C100,"" ""), ROW()-ROW($E$91)+1)
"),"ko")</f>
        <v>ko</v>
      </c>
      <c r="F100" s="34" t="s">
        <v>16</v>
      </c>
      <c r="G100" s="35"/>
      <c r="H100" s="1" t="s">
        <v>0</v>
      </c>
      <c r="I100" s="16"/>
      <c r="J100" s="17"/>
      <c r="K100" s="18" t="s">
        <v>15</v>
      </c>
      <c r="L100" s="17"/>
    </row>
    <row r="101" ht="15.75" customHeight="1">
      <c r="A101" s="11">
        <v>100.0</v>
      </c>
      <c r="B101" s="12">
        <v>3.0</v>
      </c>
      <c r="C101" s="13" t="s">
        <v>22</v>
      </c>
      <c r="D101" s="14" t="str">
        <f>IFERROR(__xludf.DUMMYFUNCTION("LET(
  words, TRANSPOSE(SPLIT($C101,"" "")),
  n, ROWS(words),
  i, ROW() - ROW($D$91) + 1,
  window, 5,
  minWin, 3,
  half, INT(window/2),
  start, MAX(1, i - half),
  stop, MIN(n, i + half),
  size, stop - start + 1,
  adjHalf, IF(size &lt; minWin, INT((m"&amp;"inWin - size)/2), 0),
  newStart, MAX(1, start - adjHalf),
  newStop, MIN(n, stop + adjHalf),
  positions, SEQUENCE(n),
  wordSlice, FILTER(words, (positions&gt;=newStart)*(positions&lt;=newStop)),
  TEXTJOIN("" "", TRUE, wordSlice)
)"),"inayos ko na ung format")</f>
        <v>inayos ko na ung format</v>
      </c>
      <c r="E101" s="15" t="str">
        <f>IFERROR(__xludf.DUMMYFUNCTION("INDEX(SPLIT($C101,"" ""), ROW()-ROW($E$91)+1)
"),"na")</f>
        <v>na</v>
      </c>
      <c r="F101" s="34" t="s">
        <v>16</v>
      </c>
      <c r="G101" s="35"/>
      <c r="H101" s="1" t="s">
        <v>0</v>
      </c>
      <c r="I101" s="16"/>
      <c r="J101" s="17"/>
      <c r="K101" s="18" t="s">
        <v>15</v>
      </c>
      <c r="L101" s="17"/>
    </row>
    <row r="102" ht="15.75" customHeight="1">
      <c r="A102" s="11">
        <v>101.0</v>
      </c>
      <c r="B102" s="12">
        <v>3.0</v>
      </c>
      <c r="C102" s="13" t="s">
        <v>22</v>
      </c>
      <c r="D102" s="14" t="str">
        <f>IFERROR(__xludf.DUMMYFUNCTION("LET(
  words, TRANSPOSE(SPLIT($C102,"" "")),
  n, ROWS(words),
  i, ROW() - ROW($D$91) + 1,
  window, 5,
  minWin, 3,
  half, INT(window/2),
  start, MAX(1, i - half),
  stop, MIN(n, i + half),
  size, stop - start + 1,
  adjHalf, IF(size &lt; minWin, INT((m"&amp;"inWin - size)/2), 0),
  newStart, MAX(1, start - adjHalf),
  newStop, MIN(n, stop + adjHalf),
  positions, SEQUENCE(n),
  wordSlice, FILTER(words, (positions&gt;=newStart)*(positions&lt;=newStop)),
  TEXTJOIN("" "", TRUE, wordSlice)
)"),"ko na ung format .")</f>
        <v>ko na ung format .</v>
      </c>
      <c r="E102" s="15" t="str">
        <f>IFERROR(__xludf.DUMMYFUNCTION("INDEX(SPLIT($C102,"" ""), ROW()-ROW($E$91)+1)
"),"ung")</f>
        <v>ung</v>
      </c>
      <c r="F102" s="34" t="s">
        <v>16</v>
      </c>
      <c r="G102" s="35"/>
      <c r="H102" s="1" t="s">
        <v>0</v>
      </c>
      <c r="I102" s="16"/>
      <c r="J102" s="17"/>
      <c r="K102" s="18" t="s">
        <v>15</v>
      </c>
      <c r="L102" s="17"/>
    </row>
    <row r="103" ht="15.75" customHeight="1">
      <c r="A103" s="11">
        <v>102.0</v>
      </c>
      <c r="B103" s="12">
        <v>3.0</v>
      </c>
      <c r="C103" s="13" t="s">
        <v>22</v>
      </c>
      <c r="D103" s="14" t="str">
        <f>IFERROR(__xludf.DUMMYFUNCTION("LET(
  words, TRANSPOSE(SPLIT($C103,"" "")),
  n, ROWS(words),
  i, ROW() - ROW($D$91) + 1,
  window, 5,
  minWin, 3,
  half, INT(window/2),
  start, MAX(1, i - half),
  stop, MIN(n, i + half),
  size, stop - start + 1,
  adjHalf, IF(size &lt; minWin, INT((m"&amp;"inWin - size)/2), 0),
  newStart, MAX(1, start - adjHalf),
  newStop, MIN(n, stop + adjHalf),
  positions, SEQUENCE(n),
  wordSlice, FILTER(words, (positions&gt;=newStart)*(positions&lt;=newStop)),
  TEXTJOIN("" "", TRUE, wordSlice)
)"),"na ung format . React")</f>
        <v>na ung format . React</v>
      </c>
      <c r="E103" s="15" t="str">
        <f>IFERROR(__xludf.DUMMYFUNCTION("INDEX(SPLIT($C103,"" ""), ROW()-ROW($E$91)+1)
"),"format")</f>
        <v>format</v>
      </c>
      <c r="F103" s="12" t="s">
        <v>18</v>
      </c>
      <c r="G103" s="11"/>
      <c r="H103" s="1" t="s">
        <v>0</v>
      </c>
      <c r="I103" s="2"/>
      <c r="J103" s="2"/>
      <c r="K103" s="1" t="s">
        <v>15</v>
      </c>
    </row>
    <row r="104" ht="15.75" customHeight="1">
      <c r="A104" s="11">
        <v>103.0</v>
      </c>
      <c r="B104" s="12">
        <v>3.0</v>
      </c>
      <c r="C104" s="13" t="s">
        <v>22</v>
      </c>
      <c r="D104" s="14" t="str">
        <f>IFERROR(__xludf.DUMMYFUNCTION("LET(
  words, TRANSPOSE(SPLIT($C104,"" "")),
  n, ROWS(words),
  i, ROW() - ROW($D$91) + 1,
  window, 5,
  minWin, 3,
  half, INT(window/2),
  start, MAX(1, i - half),
  stop, MIN(n, i + half),
  size, stop - start + 1,
  adjHalf, IF(size &lt; minWin, INT((m"&amp;"inWin - size)/2), 0),
  newStart, MAX(1, start - adjHalf),
  newStop, MIN(n, stop + adjHalf),
  positions, SEQUENCE(n),
  wordSlice, FILTER(words, (positions&gt;=newStart)*(positions&lt;=newStop)),
  TEXTJOIN("" "", TRUE, wordSlice)
)"),"ung format . React to")</f>
        <v>ung format . React to</v>
      </c>
      <c r="E104" s="15" t="str">
        <f>IFERROR(__xludf.DUMMYFUNCTION("INDEX(SPLIT($C104,"" ""), ROW()-ROW($E$91)+1)
"),".")</f>
        <v>.</v>
      </c>
      <c r="F104" s="12" t="s">
        <v>17</v>
      </c>
      <c r="G104" s="11"/>
      <c r="H104" s="1" t="s">
        <v>0</v>
      </c>
      <c r="I104" s="2"/>
      <c r="J104" s="2"/>
      <c r="K104" s="1" t="s">
        <v>15</v>
      </c>
    </row>
    <row r="105" ht="15.75" customHeight="1">
      <c r="A105" s="11">
        <v>104.0</v>
      </c>
      <c r="B105" s="12">
        <v>3.0</v>
      </c>
      <c r="C105" s="13" t="s">
        <v>22</v>
      </c>
      <c r="D105" s="14" t="str">
        <f>IFERROR(__xludf.DUMMYFUNCTION("LET(
  words, TRANSPOSE(SPLIT($C105,"" "")),
  n, ROWS(words),
  i, ROW() - ROW($D$91) + 1,
  window, 5,
  minWin, 3,
  half, INT(window/2),
  start, MAX(1, i - half),
  stop, MIN(n, i + half),
  size, stop - start + 1,
  adjHalf, IF(size &lt; minWin, INT((m"&amp;"inWin - size)/2), 0),
  newStart, MAX(1, start - adjHalf),
  newStop, MIN(n, stop + adjHalf),
  positions, SEQUENCE(n),
  wordSlice, FILTER(words, (positions&gt;=newStart)*(positions&lt;=newStop)),
  TEXTJOIN("" "", TRUE, wordSlice)
)"),"format . React to the")</f>
        <v>format . React to the</v>
      </c>
      <c r="E105" s="15" t="str">
        <f>IFERROR(__xludf.DUMMYFUNCTION("INDEX(SPLIT($C105,"" ""), ROW()-ROW($E$91)+1)
"),"React")</f>
        <v>React</v>
      </c>
      <c r="F105" s="12" t="s">
        <v>18</v>
      </c>
      <c r="G105" s="11"/>
      <c r="H105" s="1" t="s">
        <v>0</v>
      </c>
      <c r="I105" s="2"/>
      <c r="J105" s="2"/>
      <c r="K105" s="1" t="s">
        <v>15</v>
      </c>
    </row>
    <row r="106" ht="15.75" customHeight="1">
      <c r="A106" s="11">
        <v>105.0</v>
      </c>
      <c r="B106" s="12">
        <v>3.0</v>
      </c>
      <c r="C106" s="13" t="s">
        <v>22</v>
      </c>
      <c r="D106" s="14" t="str">
        <f>IFERROR(__xludf.DUMMYFUNCTION("LET(
  words, TRANSPOSE(SPLIT($C106,"" "")),
  n, ROWS(words),
  i, ROW() - ROW($D$91) + 1,
  window, 5,
  minWin, 3,
  half, INT(window/2),
  start, MAX(1, i - half),
  stop, MIN(n, i + half),
  size, stop - start + 1,
  adjHalf, IF(size &lt; minWin, INT((m"&amp;"inWin - size)/2), 0),
  newStart, MAX(1, start - adjHalf),
  newStop, MIN(n, stop + adjHalf),
  positions, SEQUENCE(n),
  wordSlice, FILTER(words, (positions&gt;=newStart)*(positions&lt;=newStop)),
  TEXTJOIN("" "", TRUE, wordSlice)
)"),". React to the message")</f>
        <v>. React to the message</v>
      </c>
      <c r="E106" s="15" t="str">
        <f>IFERROR(__xludf.DUMMYFUNCTION("INDEX(SPLIT($C106,"" ""), ROW()-ROW($E$91)+1)
"),"to")</f>
        <v>to</v>
      </c>
      <c r="F106" s="12" t="s">
        <v>18</v>
      </c>
      <c r="G106" s="11"/>
      <c r="H106" s="1" t="s">
        <v>0</v>
      </c>
      <c r="I106" s="2"/>
      <c r="J106" s="2"/>
      <c r="K106" s="1" t="s">
        <v>15</v>
      </c>
    </row>
    <row r="107" ht="15.75" customHeight="1">
      <c r="A107" s="11">
        <v>106.0</v>
      </c>
      <c r="B107" s="12">
        <v>3.0</v>
      </c>
      <c r="C107" s="13" t="s">
        <v>22</v>
      </c>
      <c r="D107" s="14" t="str">
        <f>IFERROR(__xludf.DUMMYFUNCTION("LET(
  words, TRANSPOSE(SPLIT($C107,"" "")),
  n, ROWS(words),
  i, ROW() - ROW($D$91) + 1,
  window, 5,
  minWin, 3,
  half, INT(window/2),
  start, MAX(1, i - half),
  stop, MIN(n, i + half),
  size, stop - start + 1,
  adjHalf, IF(size &lt; minWin, INT((m"&amp;"inWin - size)/2), 0),
  newStart, MAX(1, start - adjHalf),
  newStop, MIN(n, stop + adjHalf),
  positions, SEQUENCE(n),
  wordSlice, FILTER(words, (positions&gt;=newStart)*(positions&lt;=newStop)),
  TEXTJOIN("" "", TRUE, wordSlice)
)"),"React to the message above")</f>
        <v>React to the message above</v>
      </c>
      <c r="E107" s="15" t="str">
        <f>IFERROR(__xludf.DUMMYFUNCTION("INDEX(SPLIT($C107,"" ""), ROW()-ROW($E$91)+1)
"),"the")</f>
        <v>the</v>
      </c>
      <c r="F107" s="12" t="s">
        <v>18</v>
      </c>
      <c r="G107" s="11"/>
      <c r="H107" s="1" t="s">
        <v>0</v>
      </c>
      <c r="I107" s="2"/>
      <c r="J107" s="2"/>
      <c r="K107" s="1" t="s">
        <v>15</v>
      </c>
    </row>
    <row r="108" ht="15.75" customHeight="1">
      <c r="A108" s="11">
        <v>107.0</v>
      </c>
      <c r="B108" s="12">
        <v>3.0</v>
      </c>
      <c r="C108" s="13" t="s">
        <v>22</v>
      </c>
      <c r="D108" s="14" t="str">
        <f>IFERROR(__xludf.DUMMYFUNCTION("LET(
  words, TRANSPOSE(SPLIT($C108,"" "")),
  n, ROWS(words),
  i, ROW() - ROW($D$91) + 1,
  window, 5,
  minWin, 3,
  half, INT(window/2),
  start, MAX(1, i - half),
  stop, MIN(n, i + half),
  size, stop - start + 1,
  adjHalf, IF(size &lt; minWin, INT((m"&amp;"inWin - size)/2), 0),
  newStart, MAX(1, start - adjHalf),
  newStop, MIN(n, stop + adjHalf),
  positions, SEQUENCE(n),
  wordSlice, FILTER(words, (positions&gt;=newStart)*(positions&lt;=newStop)),
  TEXTJOIN("" "", TRUE, wordSlice)
)"),"to the message above kapag")</f>
        <v>to the message above kapag</v>
      </c>
      <c r="E108" s="15" t="str">
        <f>IFERROR(__xludf.DUMMYFUNCTION("INDEX(SPLIT($C108,"" ""), ROW()-ROW($E$91)+1)
"),"message")</f>
        <v>message</v>
      </c>
      <c r="F108" s="12" t="s">
        <v>18</v>
      </c>
      <c r="G108" s="11"/>
      <c r="H108" s="1" t="s">
        <v>0</v>
      </c>
      <c r="I108" s="2"/>
      <c r="J108" s="2"/>
      <c r="K108" s="1" t="s">
        <v>15</v>
      </c>
    </row>
    <row r="109" ht="15.75" customHeight="1">
      <c r="A109" s="11">
        <v>108.0</v>
      </c>
      <c r="B109" s="12">
        <v>3.0</v>
      </c>
      <c r="C109" s="13" t="s">
        <v>22</v>
      </c>
      <c r="D109" s="14" t="str">
        <f>IFERROR(__xludf.DUMMYFUNCTION("LET(
  words, TRANSPOSE(SPLIT($C109,"" "")),
  n, ROWS(words),
  i, ROW() - ROW($D$91) + 1,
  window, 5,
  minWin, 3,
  half, INT(window/2),
  start, MAX(1, i - half),
  stop, MIN(n, i + half),
  size, stop - start + 1,
  adjHalf, IF(size &lt; minWin, INT((m"&amp;"inWin - size)/2), 0),
  newStart, MAX(1, start - adjHalf),
  newStop, MIN(n, stop + adjHalf),
  positions, SEQUENCE(n),
  wordSlice, FILTER(words, (positions&gt;=newStart)*(positions&lt;=newStop)),
  TEXTJOIN("" "", TRUE, wordSlice)
)"),"the message above kapag oks")</f>
        <v>the message above kapag oks</v>
      </c>
      <c r="E109" s="15" t="str">
        <f>IFERROR(__xludf.DUMMYFUNCTION("INDEX(SPLIT($C109,"" ""), ROW()-ROW($E$91)+1)
"),"above")</f>
        <v>above</v>
      </c>
      <c r="F109" s="12" t="s">
        <v>18</v>
      </c>
      <c r="G109" s="11"/>
      <c r="H109" s="1" t="s">
        <v>0</v>
      </c>
      <c r="I109" s="2"/>
      <c r="J109" s="2"/>
      <c r="K109" s="1" t="s">
        <v>15</v>
      </c>
    </row>
    <row r="110" ht="15.75" customHeight="1">
      <c r="A110" s="11">
        <v>109.0</v>
      </c>
      <c r="B110" s="12">
        <v>3.0</v>
      </c>
      <c r="C110" s="13" t="s">
        <v>22</v>
      </c>
      <c r="D110" s="14" t="str">
        <f>IFERROR(__xludf.DUMMYFUNCTION("LET(
  words, TRANSPOSE(SPLIT($C110,"" "")),
  n, ROWS(words),
  i, ROW() - ROW($D$91) + 1,
  window, 5,
  minWin, 3,
  half, INT(window/2),
  start, MAX(1, i - half),
  stop, MIN(n, i + half),
  size, stop - start + 1,
  adjHalf, IF(size &lt; minWin, INT((m"&amp;"inWin - size)/2), 0),
  newStart, MAX(1, start - adjHalf),
  newStop, MIN(n, stop + adjHalf),
  positions, SEQUENCE(n),
  wordSlice, FILTER(words, (positions&gt;=newStart)*(positions&lt;=newStop)),
  TEXTJOIN("" "", TRUE, wordSlice)
)"),"message above kapag oks na")</f>
        <v>message above kapag oks na</v>
      </c>
      <c r="E110" s="15" t="str">
        <f>IFERROR(__xludf.DUMMYFUNCTION("INDEX(SPLIT($C110,"" ""), ROW()-ROW($E$91)+1)
"),"kapag")</f>
        <v>kapag</v>
      </c>
      <c r="F110" s="12" t="s">
        <v>16</v>
      </c>
      <c r="G110" s="11"/>
      <c r="H110" s="1" t="s">
        <v>0</v>
      </c>
      <c r="I110" s="2"/>
      <c r="J110" s="2"/>
      <c r="K110" s="1" t="s">
        <v>15</v>
      </c>
    </row>
    <row r="111" ht="15.75" customHeight="1">
      <c r="A111" s="11">
        <v>110.0</v>
      </c>
      <c r="B111" s="12">
        <v>3.0</v>
      </c>
      <c r="C111" s="13" t="s">
        <v>22</v>
      </c>
      <c r="D111" s="14" t="str">
        <f>IFERROR(__xludf.DUMMYFUNCTION("LET(
  words, TRANSPOSE(SPLIT($C111,"" "")),
  n, ROWS(words),
  i, ROW() - ROW($D$91) + 1,
  window, 5,
  minWin, 3,
  half, INT(window/2),
  start, MAX(1, i - half),
  stop, MIN(n, i + half),
  size, stop - start + 1,
  adjHalf, IF(size &lt; minWin, INT((m"&amp;"inWin - size)/2), 0),
  newStart, MAX(1, start - adjHalf),
  newStop, MIN(n, stop + adjHalf),
  positions, SEQUENCE(n),
  wordSlice, FILTER(words, (positions&gt;=newStart)*(positions&lt;=newStop)),
  TEXTJOIN("" "", TRUE, wordSlice)
)"),"above kapag oks na siya")</f>
        <v>above kapag oks na siya</v>
      </c>
      <c r="E111" s="15" t="str">
        <f>IFERROR(__xludf.DUMMYFUNCTION("INDEX(SPLIT($C111,"" ""), ROW()-ROW($E$91)+1)
"),"oks")</f>
        <v>oks</v>
      </c>
      <c r="F111" s="12" t="s">
        <v>18</v>
      </c>
      <c r="G111" s="11"/>
      <c r="H111" s="1" t="s">
        <v>0</v>
      </c>
      <c r="I111" s="2"/>
      <c r="J111" s="2"/>
      <c r="K111" s="1" t="s">
        <v>15</v>
      </c>
    </row>
    <row r="112" ht="15.75" customHeight="1">
      <c r="A112" s="11">
        <v>111.0</v>
      </c>
      <c r="B112" s="12">
        <v>3.0</v>
      </c>
      <c r="C112" s="13" t="s">
        <v>22</v>
      </c>
      <c r="D112" s="14" t="str">
        <f>IFERROR(__xludf.DUMMYFUNCTION("LET(
  words, TRANSPOSE(SPLIT($C112,"" "")),
  n, ROWS(words),
  i, ROW() - ROW($D$91) + 1,
  window, 5,
  minWin, 3,
  half, INT(window/2),
  start, MAX(1, i - half),
  stop, MIN(n, i + half),
  size, stop - start + 1,
  adjHalf, IF(size &lt; minWin, INT((m"&amp;"inWin - size)/2), 0),
  newStart, MAX(1, start - adjHalf),
  newStop, MIN(n, stop + adjHalf),
  positions, SEQUENCE(n),
  wordSlice, FILTER(words, (positions&gt;=newStart)*(positions&lt;=newStop)),
  TEXTJOIN("" "", TRUE, wordSlice)
)"),"kapag oks na siya at")</f>
        <v>kapag oks na siya at</v>
      </c>
      <c r="E112" s="15" t="str">
        <f>IFERROR(__xludf.DUMMYFUNCTION("INDEX(SPLIT($C112,"" ""), ROW()-ROW($E$91)+1)
"),"na")</f>
        <v>na</v>
      </c>
      <c r="F112" s="12" t="s">
        <v>16</v>
      </c>
      <c r="G112" s="11"/>
      <c r="H112" s="1" t="s">
        <v>0</v>
      </c>
      <c r="I112" s="2"/>
      <c r="J112" s="2"/>
      <c r="K112" s="1" t="s">
        <v>15</v>
      </c>
    </row>
    <row r="113" ht="15.75" customHeight="1">
      <c r="A113" s="11">
        <v>112.0</v>
      </c>
      <c r="B113" s="12">
        <v>3.0</v>
      </c>
      <c r="C113" s="13" t="s">
        <v>22</v>
      </c>
      <c r="D113" s="14" t="str">
        <f>IFERROR(__xludf.DUMMYFUNCTION("LET(
  words, TRANSPOSE(SPLIT($C113,"" "")),
  n, ROWS(words),
  i, ROW() - ROW($D$91) + 1,
  window, 5,
  minWin, 3,
  half, INT(window/2),
  start, MAX(1, i - half),
  stop, MIN(n, i + half),
  size, stop - start + 1,
  adjHalf, IF(size &lt; minWin, INT((m"&amp;"inWin - size)/2), 0),
  newStart, MAX(1, start - adjHalf),
  newStop, MIN(n, stop + adjHalf),
  positions, SEQUENCE(n),
  wordSlice, FILTER(words, (positions&gt;=newStart)*(positions&lt;=newStop)),
  TEXTJOIN("" "", TRUE, wordSlice)
)"),"oks na siya at pwede")</f>
        <v>oks na siya at pwede</v>
      </c>
      <c r="E113" s="15" t="str">
        <f>IFERROR(__xludf.DUMMYFUNCTION("INDEX(SPLIT($C113,"" ""), ROW()-ROW($E$91)+1)
"),"siya")</f>
        <v>siya</v>
      </c>
      <c r="F113" s="12" t="s">
        <v>16</v>
      </c>
      <c r="G113" s="11"/>
      <c r="H113" s="1" t="s">
        <v>0</v>
      </c>
      <c r="I113" s="2"/>
      <c r="J113" s="2"/>
      <c r="K113" s="1" t="s">
        <v>15</v>
      </c>
    </row>
    <row r="114" ht="15.75" customHeight="1">
      <c r="A114" s="11">
        <v>113.0</v>
      </c>
      <c r="B114" s="12">
        <v>3.0</v>
      </c>
      <c r="C114" s="13" t="s">
        <v>22</v>
      </c>
      <c r="D114" s="14" t="str">
        <f>IFERROR(__xludf.DUMMYFUNCTION("LET(
  words, TRANSPOSE(SPLIT($C114,"" "")),
  n, ROWS(words),
  i, ROW() - ROW($D$91) + 1,
  window, 5,
  minWin, 3,
  half, INT(window/2),
  start, MAX(1, i - half),
  stop, MIN(n, i + half),
  size, stop - start + 1,
  adjHalf, IF(size &lt; minWin, INT((m"&amp;"inWin - size)/2), 0),
  newStart, MAX(1, start - adjHalf),
  newStop, MIN(n, stop + adjHalf),
  positions, SEQUENCE(n),
  wordSlice, FILTER(words, (positions&gt;=newStart)*(positions&lt;=newStop)),
  TEXTJOIN("" "", TRUE, wordSlice)
)"),"na siya at pwede na")</f>
        <v>na siya at pwede na</v>
      </c>
      <c r="E114" s="15" t="str">
        <f>IFERROR(__xludf.DUMMYFUNCTION("INDEX(SPLIT($C114,"" ""), ROW()-ROW($E$91)+1)
"),"at")</f>
        <v>at</v>
      </c>
      <c r="F114" s="34" t="s">
        <v>16</v>
      </c>
      <c r="G114" s="35"/>
      <c r="H114" s="1" t="s">
        <v>0</v>
      </c>
      <c r="I114" s="16"/>
      <c r="J114" s="17"/>
      <c r="K114" s="18" t="s">
        <v>15</v>
      </c>
      <c r="L114" s="17"/>
    </row>
    <row r="115" ht="15.75" customHeight="1">
      <c r="A115" s="11">
        <v>114.0</v>
      </c>
      <c r="B115" s="12">
        <v>3.0</v>
      </c>
      <c r="C115" s="13" t="s">
        <v>22</v>
      </c>
      <c r="D115" s="14" t="str">
        <f>IFERROR(__xludf.DUMMYFUNCTION("LET(
  words, TRANSPOSE(SPLIT($C115,"" "")),
  n, ROWS(words),
  i, ROW() - ROW($D$91) + 1,
  window, 5,
  minWin, 3,
  half, INT(window/2),
  start, MAX(1, i - half),
  stop, MIN(n, i + half),
  size, stop - start + 1,
  adjHalf, IF(size &lt; minWin, INT((m"&amp;"inWin - size)/2), 0),
  newStart, MAX(1, start - adjHalf),
  newStop, MIN(n, stop + adjHalf),
  positions, SEQUENCE(n),
  wordSlice, FILTER(words, (positions&gt;=newStart)*(positions&lt;=newStop)),
  TEXTJOIN("" "", TRUE, wordSlice)
)"),"siya at pwede na siyang")</f>
        <v>siya at pwede na siyang</v>
      </c>
      <c r="E115" s="15" t="str">
        <f>IFERROR(__xludf.DUMMYFUNCTION("INDEX(SPLIT($C115,"" ""), ROW()-ROW($E$91)+1)
"),"pwede")</f>
        <v>pwede</v>
      </c>
      <c r="F115" s="34" t="s">
        <v>16</v>
      </c>
      <c r="G115" s="35"/>
      <c r="H115" s="1" t="s">
        <v>0</v>
      </c>
      <c r="I115" s="16"/>
      <c r="J115" s="17"/>
      <c r="K115" s="18" t="s">
        <v>15</v>
      </c>
      <c r="L115" s="17"/>
    </row>
    <row r="116" ht="15.75" customHeight="1">
      <c r="A116" s="11">
        <v>115.0</v>
      </c>
      <c r="B116" s="12">
        <v>3.0</v>
      </c>
      <c r="C116" s="13" t="s">
        <v>22</v>
      </c>
      <c r="D116" s="14" t="str">
        <f>IFERROR(__xludf.DUMMYFUNCTION("LET(
  words, TRANSPOSE(SPLIT($C116,"" "")),
  n, ROWS(words),
  i, ROW() - ROW($D$91) + 1,
  window, 5,
  minWin, 3,
  half, INT(window/2),
  start, MAX(1, i - half),
  stop, MIN(n, i + half),
  size, stop - start + 1,
  adjHalf, IF(size &lt; minWin, INT((m"&amp;"inWin - size)/2), 0),
  newStart, MAX(1, start - adjHalf),
  newStop, MIN(n, stop + adjHalf),
  positions, SEQUENCE(n),
  wordSlice, FILTER(words, (positions&gt;=newStart)*(positions&lt;=newStop)),
  TEXTJOIN("" "", TRUE, wordSlice)
)"),"at pwede na siyang i-submit")</f>
        <v>at pwede na siyang i-submit</v>
      </c>
      <c r="E116" s="15" t="str">
        <f>IFERROR(__xludf.DUMMYFUNCTION("INDEX(SPLIT($C116,"" ""), ROW()-ROW($E$91)+1)
"),"na")</f>
        <v>na</v>
      </c>
      <c r="F116" s="34" t="s">
        <v>16</v>
      </c>
      <c r="G116" s="35"/>
      <c r="H116" s="1" t="s">
        <v>0</v>
      </c>
      <c r="I116" s="16"/>
      <c r="J116" s="17"/>
      <c r="K116" s="18" t="s">
        <v>15</v>
      </c>
      <c r="L116" s="17"/>
    </row>
    <row r="117" ht="15.75" customHeight="1">
      <c r="A117" s="11">
        <v>116.0</v>
      </c>
      <c r="B117" s="12">
        <v>3.0</v>
      </c>
      <c r="C117" s="13" t="s">
        <v>22</v>
      </c>
      <c r="D117" s="14" t="str">
        <f>IFERROR(__xludf.DUMMYFUNCTION("LET(
  words, TRANSPOSE(SPLIT($C117,"" "")),
  n, ROWS(words),
  i, ROW() - ROW($D$91) + 1,
  window, 5,
  minWin, 3,
  half, INT(window/2),
  start, MAX(1, i - half),
  stop, MIN(n, i + half),
  size, stop - start + 1,
  adjHalf, IF(size &lt; minWin, INT((m"&amp;"inWin - size)/2), 0),
  newStart, MAX(1, start - adjHalf),
  newStop, MIN(n, stop + adjHalf),
  positions, SEQUENCE(n),
  wordSlice, FILTER(words, (positions&gt;=newStart)*(positions&lt;=newStop)),
  TEXTJOIN("" "", TRUE, wordSlice)
)"),"pwede na siyang i-submit")</f>
        <v>pwede na siyang i-submit</v>
      </c>
      <c r="E117" s="15" t="str">
        <f>IFERROR(__xludf.DUMMYFUNCTION("INDEX(SPLIT($C117,"" ""), ROW()-ROW($E$91)+1)
"),"siyang")</f>
        <v>siyang</v>
      </c>
      <c r="F117" s="34" t="s">
        <v>16</v>
      </c>
      <c r="G117" s="35"/>
      <c r="H117" s="1" t="s">
        <v>0</v>
      </c>
      <c r="I117" s="16"/>
      <c r="J117" s="17"/>
      <c r="K117" s="18" t="s">
        <v>15</v>
      </c>
      <c r="L117" s="17"/>
    </row>
    <row r="118" ht="15.75" customHeight="1">
      <c r="A118" s="19">
        <v>117.0</v>
      </c>
      <c r="B118" s="20">
        <v>3.0</v>
      </c>
      <c r="C118" s="21" t="s">
        <v>22</v>
      </c>
      <c r="D118" s="22" t="str">
        <f>IFERROR(__xludf.DUMMYFUNCTION("LET(
  words, TRANSPOSE(SPLIT($C118,"" "")),
  n, ROWS(words),
  i, ROW() - ROW($D$91) + 1,
  window, 5,
  minWin, 3,
  half, INT(window/2),
  start, MAX(1, i - half),
  stop, MIN(n, i + half),
  size, stop - start + 1,
  adjHalf, IF(size &lt; minWin, INT((m"&amp;"inWin - size)/2), 0),
  newStart, MAX(1, start - adjHalf),
  newStop, MIN(n, stop + adjHalf),
  positions, SEQUENCE(n),
  wordSlice, FILTER(words, (positions&gt;=newStart)*(positions&lt;=newStop)),
  TEXTJOIN("" "", TRUE, wordSlice)
)"),"na siyang i-submit")</f>
        <v>na siyang i-submit</v>
      </c>
      <c r="E118" s="23" t="str">
        <f>IFERROR(__xludf.DUMMYFUNCTION("INDEX(SPLIT($C118,"" ""), ROW()-ROW($E$91)+1)
"),"i-submit")</f>
        <v>i-submit</v>
      </c>
      <c r="F118" s="36" t="s">
        <v>23</v>
      </c>
      <c r="G118" s="37"/>
      <c r="H118" s="10" t="s">
        <v>0</v>
      </c>
      <c r="I118" s="24"/>
      <c r="J118" s="25"/>
      <c r="K118" s="26" t="s">
        <v>15</v>
      </c>
      <c r="L118" s="25"/>
    </row>
    <row r="119" ht="15.75" customHeight="1">
      <c r="A119" s="30">
        <v>118.0</v>
      </c>
      <c r="B119" s="30">
        <v>4.0</v>
      </c>
      <c r="C119" s="4" t="s">
        <v>24</v>
      </c>
      <c r="D119" s="5" t="str">
        <f>IFERROR(__xludf.DUMMYFUNCTION("LET(
  words, TRANSPOSE(SPLIT($C119,""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simpleng tanong")</f>
        <v>Ang simpleng tanong</v>
      </c>
      <c r="E119" s="3" t="str">
        <f>IFERROR(__xludf.DUMMYFUNCTION("INDEX(SPLIT($C119,"" ""), ROW()-ROW($E$119)+1)
"),"Ang")</f>
        <v>Ang</v>
      </c>
      <c r="F119" s="30" t="s">
        <v>16</v>
      </c>
      <c r="G119" s="31"/>
      <c r="H119" s="1" t="s">
        <v>0</v>
      </c>
      <c r="I119" s="27"/>
      <c r="J119" s="28"/>
      <c r="K119" s="29" t="s">
        <v>15</v>
      </c>
      <c r="L119" s="28"/>
    </row>
    <row r="120" ht="15.75" customHeight="1">
      <c r="A120" s="30">
        <v>119.0</v>
      </c>
      <c r="B120" s="30">
        <v>4.0</v>
      </c>
      <c r="C120" s="4" t="s">
        <v>24</v>
      </c>
      <c r="D120" s="5" t="str">
        <f>IFERROR(__xludf.DUMMYFUNCTION("LET(
  words, TRANSPOSE(SPLIT($C120,""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simpleng tanong ay")</f>
        <v>Ang simpleng tanong ay</v>
      </c>
      <c r="E120" s="3" t="str">
        <f>IFERROR(__xludf.DUMMYFUNCTION("INDEX(SPLIT($C120,"" ""), ROW()-ROW($E$119)+1)
"),"simpleng")</f>
        <v>simpleng</v>
      </c>
      <c r="F120" s="30" t="s">
        <v>16</v>
      </c>
      <c r="G120" s="31"/>
      <c r="H120" s="1" t="s">
        <v>0</v>
      </c>
      <c r="I120" s="16"/>
      <c r="J120" s="17"/>
      <c r="K120" s="18" t="s">
        <v>15</v>
      </c>
      <c r="L120" s="17"/>
    </row>
    <row r="121" ht="15.75" customHeight="1">
      <c r="A121" s="30">
        <v>120.0</v>
      </c>
      <c r="B121" s="30">
        <v>4.0</v>
      </c>
      <c r="C121" s="4" t="s">
        <v>24</v>
      </c>
      <c r="D121" s="5" t="str">
        <f>IFERROR(__xludf.DUMMYFUNCTION("LET(
  words, TRANSPOSE(SPLIT($C121,""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simpleng tanong ay agad")</f>
        <v>Ang simpleng tanong ay agad</v>
      </c>
      <c r="E121" s="3" t="str">
        <f>IFERROR(__xludf.DUMMYFUNCTION("INDEX(SPLIT($C121,"" ""), ROW()-ROW($E$119)+1)
"),"tanong")</f>
        <v>tanong</v>
      </c>
      <c r="F121" s="30" t="s">
        <v>16</v>
      </c>
      <c r="G121" s="31"/>
      <c r="H121" s="1" t="s">
        <v>0</v>
      </c>
      <c r="I121" s="16"/>
      <c r="J121" s="17"/>
      <c r="K121" s="18" t="s">
        <v>15</v>
      </c>
      <c r="L121" s="17"/>
    </row>
    <row r="122" ht="15.75" customHeight="1">
      <c r="A122" s="30">
        <v>121.0</v>
      </c>
      <c r="B122" s="30">
        <v>4.0</v>
      </c>
      <c r="C122" s="4" t="s">
        <v>24</v>
      </c>
      <c r="D122" s="5" t="str">
        <f>IFERROR(__xludf.DUMMYFUNCTION("LET(
  words, TRANSPOSE(SPLIT($C122,""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)"),"simpleng tanong ay agad na")</f>
        <v>simpleng tanong ay agad na</v>
      </c>
      <c r="E122" s="3" t="str">
        <f>IFERROR(__xludf.DUMMYFUNCTION("INDEX(SPLIT($C122,"" ""), ROW()-ROW($E$119)+1)
"),"ay")</f>
        <v>ay</v>
      </c>
      <c r="F122" s="30" t="s">
        <v>16</v>
      </c>
      <c r="G122" s="31"/>
      <c r="H122" s="1" t="s">
        <v>0</v>
      </c>
      <c r="I122" s="16"/>
      <c r="J122" s="17"/>
      <c r="K122" s="18" t="s">
        <v>15</v>
      </c>
      <c r="L122" s="17"/>
    </row>
    <row r="123" ht="15.75" customHeight="1">
      <c r="A123" s="30">
        <v>122.0</v>
      </c>
      <c r="B123" s="30">
        <v>4.0</v>
      </c>
      <c r="C123" s="4" t="s">
        <v>24</v>
      </c>
      <c r="D123" s="5" t="str">
        <f>IFERROR(__xludf.DUMMYFUNCTION("LET(
  words, TRANSPOSE(SPLIT($C123,""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)"),"tanong ay agad na nag-viral")</f>
        <v>tanong ay agad na nag-viral</v>
      </c>
      <c r="E123" s="3" t="str">
        <f>IFERROR(__xludf.DUMMYFUNCTION("INDEX(SPLIT($C123,"" ""), ROW()-ROW($E$119)+1)
"),"agad")</f>
        <v>agad</v>
      </c>
      <c r="F123" s="30" t="s">
        <v>16</v>
      </c>
      <c r="G123" s="31"/>
      <c r="H123" s="1" t="s">
        <v>0</v>
      </c>
      <c r="I123" s="16"/>
      <c r="J123" s="17"/>
      <c r="K123" s="18" t="s">
        <v>15</v>
      </c>
      <c r="L123" s="17"/>
    </row>
    <row r="124" ht="15.75" customHeight="1">
      <c r="A124" s="30">
        <v>123.0</v>
      </c>
      <c r="B124" s="30">
        <v>4.0</v>
      </c>
      <c r="C124" s="4" t="s">
        <v>24</v>
      </c>
      <c r="D124" s="5" t="str">
        <f>IFERROR(__xludf.DUMMYFUNCTION("LET(
  words, TRANSPOSE(SPLIT($C124,""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)"),"ay agad na nag-viral ,")</f>
        <v>ay agad na nag-viral ,</v>
      </c>
      <c r="E124" s="3" t="str">
        <f>IFERROR(__xludf.DUMMYFUNCTION("INDEX(SPLIT($C124,"" ""), ROW()-ROW($E$119)+1)
"),"na")</f>
        <v>na</v>
      </c>
      <c r="F124" s="30" t="s">
        <v>16</v>
      </c>
      <c r="G124" s="31"/>
      <c r="H124" s="1" t="s">
        <v>0</v>
      </c>
      <c r="I124" s="16"/>
      <c r="J124" s="17"/>
      <c r="K124" s="18" t="s">
        <v>15</v>
      </c>
      <c r="L124" s="17"/>
    </row>
    <row r="125" ht="15.75" customHeight="1">
      <c r="A125" s="30">
        <v>124.0</v>
      </c>
      <c r="B125" s="30">
        <v>4.0</v>
      </c>
      <c r="C125" s="4" t="s">
        <v>24</v>
      </c>
      <c r="D125" s="5" t="str">
        <f>IFERROR(__xludf.DUMMYFUNCTION("LET(
  words, TRANSPOSE(SPLIT($C125,""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)"),"agad na nag-viral , na")</f>
        <v>agad na nag-viral , na</v>
      </c>
      <c r="E125" s="3" t="str">
        <f>IFERROR(__xludf.DUMMYFUNCTION("INDEX(SPLIT($C125,"" ""), ROW()-ROW($E$119)+1)
"),"nag-viral")</f>
        <v>nag-viral</v>
      </c>
      <c r="F125" s="30" t="s">
        <v>23</v>
      </c>
      <c r="G125" s="31"/>
      <c r="H125" s="1" t="s">
        <v>0</v>
      </c>
      <c r="I125" s="16"/>
      <c r="J125" s="17"/>
      <c r="K125" s="18" t="s">
        <v>15</v>
      </c>
      <c r="L125" s="17"/>
    </row>
    <row r="126" ht="15.75" customHeight="1">
      <c r="A126" s="30">
        <v>125.0</v>
      </c>
      <c r="B126" s="30">
        <v>4.0</v>
      </c>
      <c r="C126" s="4" t="s">
        <v>24</v>
      </c>
      <c r="D126" s="5" t="str">
        <f>IFERROR(__xludf.DUMMYFUNCTION("LET(
  words, TRANSPOSE(SPLIT($C126,""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nag-viral , na may")</f>
        <v>na nag-viral , na may</v>
      </c>
      <c r="E126" s="3" t="str">
        <f>IFERROR(__xludf.DUMMYFUNCTION("INDEX(SPLIT($C126,"" ""), ROW()-ROW($E$119)+1)
"),",")</f>
        <v>,</v>
      </c>
      <c r="F126" s="30" t="s">
        <v>17</v>
      </c>
      <c r="G126" s="31"/>
      <c r="H126" s="1" t="s">
        <v>0</v>
      </c>
      <c r="I126" s="16"/>
      <c r="J126" s="17"/>
      <c r="K126" s="18" t="s">
        <v>15</v>
      </c>
      <c r="L126" s="17"/>
    </row>
    <row r="127" ht="15.75" customHeight="1">
      <c r="A127" s="30">
        <v>126.0</v>
      </c>
      <c r="B127" s="30">
        <v>4.0</v>
      </c>
      <c r="C127" s="4" t="s">
        <v>24</v>
      </c>
      <c r="D127" s="5" t="str">
        <f>IFERROR(__xludf.DUMMYFUNCTION("LET(
  words, TRANSPOSE(SPLIT($C127,""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)"),"nag-viral , na may mahigit")</f>
        <v>nag-viral , na may mahigit</v>
      </c>
      <c r="E127" s="3" t="str">
        <f>IFERROR(__xludf.DUMMYFUNCTION("INDEX(SPLIT($C127,"" ""), ROW()-ROW($E$119)+1)
"),"na")</f>
        <v>na</v>
      </c>
      <c r="F127" s="30" t="s">
        <v>16</v>
      </c>
      <c r="G127" s="31"/>
      <c r="H127" s="1" t="s">
        <v>0</v>
      </c>
      <c r="I127" s="16"/>
      <c r="J127" s="17"/>
      <c r="K127" s="18" t="s">
        <v>15</v>
      </c>
      <c r="L127" s="17"/>
    </row>
    <row r="128" ht="15.75" customHeight="1">
      <c r="A128" s="30">
        <v>127.0</v>
      </c>
      <c r="B128" s="30">
        <v>4.0</v>
      </c>
      <c r="C128" s="4" t="s">
        <v>24</v>
      </c>
      <c r="D128" s="5" t="str">
        <f>IFERROR(__xludf.DUMMYFUNCTION("LET(
  words, TRANSPOSE(SPLIT($C128,""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na may mahigit 45")</f>
        <v>, na may mahigit 45</v>
      </c>
      <c r="E128" s="3" t="str">
        <f>IFERROR(__xludf.DUMMYFUNCTION("INDEX(SPLIT($C128,"" ""), ROW()-ROW($E$119)+1)
"),"may")</f>
        <v>may</v>
      </c>
      <c r="F128" s="30" t="s">
        <v>16</v>
      </c>
      <c r="G128" s="31"/>
      <c r="H128" s="1" t="s">
        <v>0</v>
      </c>
      <c r="I128" s="16"/>
      <c r="J128" s="17"/>
      <c r="K128" s="18" t="s">
        <v>15</v>
      </c>
      <c r="L128" s="17"/>
    </row>
    <row r="129" ht="15.75" customHeight="1">
      <c r="A129" s="30">
        <v>128.0</v>
      </c>
      <c r="B129" s="30">
        <v>4.0</v>
      </c>
      <c r="C129" s="4" t="s">
        <v>24</v>
      </c>
      <c r="D129" s="5" t="str">
        <f>IFERROR(__xludf.DUMMYFUNCTION("LET(
  words, TRANSPOSE(SPLIT($C129,""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may mahigit 45 ,")</f>
        <v>na may mahigit 45 ,</v>
      </c>
      <c r="E129" s="3" t="str">
        <f>IFERROR(__xludf.DUMMYFUNCTION("INDEX(SPLIT($C129,"" ""), ROW()-ROW($E$119)+1)
"),"mahigit")</f>
        <v>mahigit</v>
      </c>
      <c r="F129" s="30" t="s">
        <v>16</v>
      </c>
      <c r="G129" s="31"/>
      <c r="H129" s="1" t="s">
        <v>0</v>
      </c>
      <c r="I129" s="16"/>
      <c r="J129" s="17"/>
      <c r="K129" s="18" t="s">
        <v>15</v>
      </c>
      <c r="L129" s="17"/>
    </row>
    <row r="130" ht="15.75" customHeight="1">
      <c r="A130" s="30">
        <v>129.0</v>
      </c>
      <c r="B130" s="30">
        <v>4.0</v>
      </c>
      <c r="C130" s="4" t="s">
        <v>24</v>
      </c>
      <c r="D130" s="5" t="str">
        <f>IFERROR(__xludf.DUMMYFUNCTION("LET(
  words, TRANSPOSE(SPLIT($C130,""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)"),"may mahigit 45 , 0")</f>
        <v>may mahigit 45 , 0</v>
      </c>
      <c r="E130" s="3">
        <f>IFERROR(__xludf.DUMMYFUNCTION("INDEX(SPLIT($C130,"" ""), ROW()-ROW($E$119)+1)
"),45.0)</f>
        <v>45</v>
      </c>
      <c r="F130" s="30" t="s">
        <v>25</v>
      </c>
      <c r="G130" s="31"/>
      <c r="H130" s="1" t="s">
        <v>0</v>
      </c>
      <c r="I130" s="16"/>
      <c r="J130" s="17"/>
      <c r="K130" s="18" t="s">
        <v>15</v>
      </c>
      <c r="L130" s="17"/>
    </row>
    <row r="131" ht="15.75" customHeight="1">
      <c r="A131" s="30">
        <v>130.0</v>
      </c>
      <c r="B131" s="30">
        <v>4.0</v>
      </c>
      <c r="C131" s="4" t="s">
        <v>24</v>
      </c>
      <c r="D131" s="5" t="str">
        <f>IFERROR(__xludf.DUMMYFUNCTION("LET(
  words, TRANSPOSE(SPLIT($C131,""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)"),"mahigit 45 , 0 laugh")</f>
        <v>mahigit 45 , 0 laugh</v>
      </c>
      <c r="E131" s="3" t="str">
        <f>IFERROR(__xludf.DUMMYFUNCTION("INDEX(SPLIT($C131,"" ""), ROW()-ROW($E$119)+1)
"),",")</f>
        <v>,</v>
      </c>
      <c r="F131" s="30" t="s">
        <v>17</v>
      </c>
      <c r="G131" s="31"/>
      <c r="H131" s="1" t="s">
        <v>0</v>
      </c>
      <c r="I131" s="16"/>
      <c r="J131" s="17"/>
      <c r="K131" s="18" t="s">
        <v>15</v>
      </c>
      <c r="L131" s="17"/>
    </row>
    <row r="132" ht="15.75" customHeight="1">
      <c r="A132" s="30">
        <v>131.0</v>
      </c>
      <c r="B132" s="30">
        <v>4.0</v>
      </c>
      <c r="C132" s="4" t="s">
        <v>24</v>
      </c>
      <c r="D132" s="5" t="str">
        <f>IFERROR(__xludf.DUMMYFUNCTION("LET(
  words, TRANSPOSE(SPLIT($C132,""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)"),"45 , 0 laugh reactions")</f>
        <v>45 , 0 laugh reactions</v>
      </c>
      <c r="E132" s="3">
        <f>IFERROR(__xludf.DUMMYFUNCTION("INDEX(SPLIT($C132,"" ""), ROW()-ROW($E$119)+1)
"),0.0)</f>
        <v>0</v>
      </c>
      <c r="F132" s="30" t="s">
        <v>25</v>
      </c>
      <c r="G132" s="31"/>
      <c r="H132" s="1" t="s">
        <v>0</v>
      </c>
      <c r="I132" s="16"/>
      <c r="J132" s="17"/>
      <c r="K132" s="18" t="s">
        <v>15</v>
      </c>
      <c r="L132" s="17"/>
    </row>
    <row r="133" ht="15.75" customHeight="1">
      <c r="A133" s="30">
        <v>132.0</v>
      </c>
      <c r="B133" s="30">
        <v>4.0</v>
      </c>
      <c r="C133" s="4" t="s">
        <v>24</v>
      </c>
      <c r="D133" s="5" t="str">
        <f>IFERROR(__xludf.DUMMYFUNCTION("LET(
  words, TRANSPOSE(SPLIT($C133,""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0 laugh reactions at")</f>
        <v>, 0 laugh reactions at</v>
      </c>
      <c r="E133" s="3" t="str">
        <f>IFERROR(__xludf.DUMMYFUNCTION("INDEX(SPLIT($C133,"" ""), ROW()-ROW($E$119)+1)
"),"laugh")</f>
        <v>laugh</v>
      </c>
      <c r="F133" s="30" t="s">
        <v>18</v>
      </c>
      <c r="G133" s="31"/>
      <c r="H133" s="1" t="s">
        <v>0</v>
      </c>
      <c r="I133" s="16"/>
      <c r="J133" s="17"/>
      <c r="K133" s="18" t="s">
        <v>15</v>
      </c>
      <c r="L133" s="17"/>
    </row>
    <row r="134" ht="15.75" customHeight="1">
      <c r="A134" s="30">
        <v>133.0</v>
      </c>
      <c r="B134" s="30">
        <v>4.0</v>
      </c>
      <c r="C134" s="4" t="s">
        <v>24</v>
      </c>
      <c r="D134" s="5" t="str">
        <f>IFERROR(__xludf.DUMMYFUNCTION("LET(
  words, TRANSPOSE(SPLIT($C134,""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)"),"0 laugh reactions at halos")</f>
        <v>0 laugh reactions at halos</v>
      </c>
      <c r="E134" s="3" t="str">
        <f>IFERROR(__xludf.DUMMYFUNCTION("INDEX(SPLIT($C134,"" ""), ROW()-ROW($E$119)+1)
"),"reactions")</f>
        <v>reactions</v>
      </c>
      <c r="F134" s="30" t="s">
        <v>18</v>
      </c>
      <c r="G134" s="31"/>
      <c r="H134" s="1" t="s">
        <v>0</v>
      </c>
      <c r="I134" s="16"/>
      <c r="J134" s="17"/>
      <c r="K134" s="18" t="s">
        <v>15</v>
      </c>
      <c r="L134" s="17"/>
    </row>
    <row r="135" ht="15.75" customHeight="1">
      <c r="A135" s="30">
        <v>134.0</v>
      </c>
      <c r="B135" s="30">
        <v>4.0</v>
      </c>
      <c r="C135" s="4" t="s">
        <v>24</v>
      </c>
      <c r="D135" s="5" t="str">
        <f>IFERROR(__xludf.DUMMYFUNCTION("LET(
  words, TRANSPOSE(SPLIT($C135,""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)"),"laugh reactions at halos 900")</f>
        <v>laugh reactions at halos 900</v>
      </c>
      <c r="E135" s="3" t="str">
        <f>IFERROR(__xludf.DUMMYFUNCTION("INDEX(SPLIT($C135,"" ""), ROW()-ROW($E$119)+1)
"),"at")</f>
        <v>at</v>
      </c>
      <c r="F135" s="30" t="s">
        <v>16</v>
      </c>
      <c r="G135" s="31"/>
      <c r="H135" s="1" t="s">
        <v>0</v>
      </c>
      <c r="I135" s="16"/>
      <c r="J135" s="17"/>
      <c r="K135" s="18" t="s">
        <v>15</v>
      </c>
      <c r="L135" s="17"/>
    </row>
    <row r="136" ht="15.75" customHeight="1">
      <c r="A136" s="30">
        <v>135.0</v>
      </c>
      <c r="B136" s="30">
        <v>4.0</v>
      </c>
      <c r="C136" s="4" t="s">
        <v>24</v>
      </c>
      <c r="D136" s="5" t="str">
        <f>IFERROR(__xludf.DUMMYFUNCTION("LET(
  words, TRANSPOSE(SPLIT($C136,""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)"),"reactions at halos 900 komento")</f>
        <v>reactions at halos 900 komento</v>
      </c>
      <c r="E136" s="3" t="str">
        <f>IFERROR(__xludf.DUMMYFUNCTION("INDEX(SPLIT($C136,"" ""), ROW()-ROW($E$119)+1)
"),"halos")</f>
        <v>halos</v>
      </c>
      <c r="F136" s="30" t="s">
        <v>16</v>
      </c>
      <c r="G136" s="31"/>
      <c r="H136" s="1" t="s">
        <v>0</v>
      </c>
      <c r="I136" s="16"/>
      <c r="J136" s="17"/>
      <c r="K136" s="18" t="s">
        <v>15</v>
      </c>
      <c r="L136" s="17"/>
    </row>
    <row r="137" ht="15.75" customHeight="1">
      <c r="A137" s="30">
        <v>136.0</v>
      </c>
      <c r="B137" s="30">
        <v>4.0</v>
      </c>
      <c r="C137" s="4" t="s">
        <v>24</v>
      </c>
      <c r="D137" s="5" t="str">
        <f>IFERROR(__xludf.DUMMYFUNCTION("LET(
  words, TRANSPOSE(SPLIT($C137,""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)"),"at halos 900 komento mula")</f>
        <v>at halos 900 komento mula</v>
      </c>
      <c r="E137" s="3">
        <f>IFERROR(__xludf.DUMMYFUNCTION("INDEX(SPLIT($C137,"" ""), ROW()-ROW($E$119)+1)
"),900.0)</f>
        <v>900</v>
      </c>
      <c r="F137" s="30" t="s">
        <v>25</v>
      </c>
      <c r="G137" s="31"/>
      <c r="H137" s="1" t="s">
        <v>0</v>
      </c>
      <c r="I137" s="16"/>
      <c r="J137" s="17"/>
      <c r="K137" s="18" t="s">
        <v>15</v>
      </c>
      <c r="L137" s="17"/>
    </row>
    <row r="138" ht="15.75" customHeight="1">
      <c r="A138" s="30">
        <v>137.0</v>
      </c>
      <c r="B138" s="30">
        <v>4.0</v>
      </c>
      <c r="C138" s="4" t="s">
        <v>24</v>
      </c>
      <c r="D138" s="5" t="str">
        <f>IFERROR(__xludf.DUMMYFUNCTION("LET(
  words, TRANSPOSE(SPLIT($C138,""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)"),"halos 900 komento mula sa")</f>
        <v>halos 900 komento mula sa</v>
      </c>
      <c r="E138" s="3" t="str">
        <f>IFERROR(__xludf.DUMMYFUNCTION("INDEX(SPLIT($C138,"" ""), ROW()-ROW($E$119)+1)
"),"komento")</f>
        <v>komento</v>
      </c>
      <c r="F138" s="30" t="s">
        <v>16</v>
      </c>
      <c r="G138" s="31"/>
      <c r="H138" s="1" t="s">
        <v>0</v>
      </c>
      <c r="I138" s="16"/>
      <c r="J138" s="17"/>
      <c r="K138" s="18" t="s">
        <v>15</v>
      </c>
      <c r="L138" s="17"/>
    </row>
    <row r="139" ht="15.75" customHeight="1">
      <c r="A139" s="30">
        <v>138.0</v>
      </c>
      <c r="B139" s="30">
        <v>4.0</v>
      </c>
      <c r="C139" s="4" t="s">
        <v>24</v>
      </c>
      <c r="D139" s="5" t="str">
        <f>IFERROR(__xludf.DUMMYFUNCTION("LET(
  words, TRANSPOSE(SPLIT($C139,""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)"),"900 komento mula sa mga")</f>
        <v>900 komento mula sa mga</v>
      </c>
      <c r="E139" s="3" t="str">
        <f>IFERROR(__xludf.DUMMYFUNCTION("INDEX(SPLIT($C139,"" ""), ROW()-ROW($E$119)+1)
"),"mula")</f>
        <v>mula</v>
      </c>
      <c r="F139" s="30" t="s">
        <v>16</v>
      </c>
      <c r="G139" s="31"/>
      <c r="H139" s="1" t="s">
        <v>0</v>
      </c>
      <c r="I139" s="16"/>
      <c r="J139" s="17"/>
      <c r="K139" s="18" t="s">
        <v>15</v>
      </c>
      <c r="L139" s="17"/>
    </row>
    <row r="140" ht="15.75" customHeight="1">
      <c r="A140" s="30">
        <v>139.0</v>
      </c>
      <c r="B140" s="30">
        <v>4.0</v>
      </c>
      <c r="C140" s="4" t="s">
        <v>24</v>
      </c>
      <c r="D140" s="5" t="str">
        <f>IFERROR(__xludf.DUMMYFUNCTION("LET(
  words, TRANSPOSE(SPLIT($C140,""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)"),"komento mula sa mga amused")</f>
        <v>komento mula sa mga amused</v>
      </c>
      <c r="E140" s="3" t="str">
        <f>IFERROR(__xludf.DUMMYFUNCTION("INDEX(SPLIT($C140,"" ""), ROW()-ROW($E$119)+1)
"),"sa")</f>
        <v>sa</v>
      </c>
      <c r="F140" s="30" t="s">
        <v>16</v>
      </c>
      <c r="G140" s="31"/>
      <c r="H140" s="1" t="s">
        <v>0</v>
      </c>
      <c r="I140" s="16"/>
      <c r="J140" s="17"/>
      <c r="K140" s="18" t="s">
        <v>15</v>
      </c>
      <c r="L140" s="17"/>
    </row>
    <row r="141" ht="15.75" customHeight="1">
      <c r="A141" s="30">
        <v>140.0</v>
      </c>
      <c r="B141" s="30">
        <v>4.0</v>
      </c>
      <c r="C141" s="4" t="s">
        <v>24</v>
      </c>
      <c r="D141" s="5" t="str">
        <f>IFERROR(__xludf.DUMMYFUNCTION("LET(
  words, TRANSPOSE(SPLIT($C141,""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)"),"mula sa mga amused followers")</f>
        <v>mula sa mga amused followers</v>
      </c>
      <c r="E141" s="3" t="str">
        <f>IFERROR(__xludf.DUMMYFUNCTION("INDEX(SPLIT($C141,"" ""), ROW()-ROW($E$119)+1)
"),"mga")</f>
        <v>mga</v>
      </c>
      <c r="F141" s="30" t="s">
        <v>16</v>
      </c>
      <c r="G141" s="31"/>
      <c r="H141" s="1" t="s">
        <v>0</v>
      </c>
      <c r="I141" s="16"/>
      <c r="J141" s="17"/>
      <c r="K141" s="18" t="s">
        <v>15</v>
      </c>
      <c r="L141" s="17"/>
    </row>
    <row r="142" ht="15.75" customHeight="1">
      <c r="A142" s="30">
        <v>141.0</v>
      </c>
      <c r="B142" s="30">
        <v>4.0</v>
      </c>
      <c r="C142" s="4" t="s">
        <v>24</v>
      </c>
      <c r="D142" s="5" t="str">
        <f>IFERROR(__xludf.DUMMYFUNCTION("LET(
  words, TRANSPOSE(SPLIT($C142,""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mga amused followers .")</f>
        <v>sa mga amused followers .</v>
      </c>
      <c r="E142" s="3" t="str">
        <f>IFERROR(__xludf.DUMMYFUNCTION("INDEX(SPLIT($C142,"" ""), ROW()-ROW($E$119)+1)
"),"amused")</f>
        <v>amused</v>
      </c>
      <c r="F142" s="30" t="s">
        <v>18</v>
      </c>
      <c r="G142" s="31"/>
      <c r="H142" s="1" t="s">
        <v>0</v>
      </c>
      <c r="I142" s="16"/>
      <c r="J142" s="17"/>
      <c r="K142" s="18" t="s">
        <v>15</v>
      </c>
      <c r="L142" s="17"/>
    </row>
    <row r="143" ht="15.75" customHeight="1">
      <c r="A143" s="30">
        <v>142.0</v>
      </c>
      <c r="B143" s="30">
        <v>4.0</v>
      </c>
      <c r="C143" s="4" t="s">
        <v>24</v>
      </c>
      <c r="D143" s="5" t="str">
        <f>IFERROR(__xludf.DUMMYFUNCTION("LET(
  words, TRANSPOSE(SPLIT($C143,""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)"),"mga amused followers . Marami")</f>
        <v>mga amused followers . Marami</v>
      </c>
      <c r="E143" s="3" t="str">
        <f>IFERROR(__xludf.DUMMYFUNCTION("INDEX(SPLIT($C143,"" ""), ROW()-ROW($E$119)+1)
"),"followers")</f>
        <v>followers</v>
      </c>
      <c r="F143" s="30" t="s">
        <v>18</v>
      </c>
      <c r="G143" s="31"/>
      <c r="H143" s="1" t="s">
        <v>0</v>
      </c>
      <c r="I143" s="16"/>
      <c r="J143" s="17"/>
      <c r="K143" s="18" t="s">
        <v>15</v>
      </c>
      <c r="L143" s="17"/>
    </row>
    <row r="144" ht="15.75" customHeight="1">
      <c r="A144" s="30">
        <v>143.0</v>
      </c>
      <c r="B144" s="30">
        <v>4.0</v>
      </c>
      <c r="C144" s="4" t="s">
        <v>24</v>
      </c>
      <c r="D144" s="5" t="str">
        <f>IFERROR(__xludf.DUMMYFUNCTION("LET(
  words, TRANSPOSE(SPLIT($C144,""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)"),"amused followers . Marami ang")</f>
        <v>amused followers . Marami ang</v>
      </c>
      <c r="E144" s="3" t="str">
        <f>IFERROR(__xludf.DUMMYFUNCTION("INDEX(SPLIT($C144,"" ""), ROW()-ROW($E$119)+1)
"),".")</f>
        <v>.</v>
      </c>
      <c r="F144" s="30" t="s">
        <v>17</v>
      </c>
      <c r="G144" s="31"/>
      <c r="H144" s="1" t="s">
        <v>0</v>
      </c>
      <c r="I144" s="16"/>
      <c r="J144" s="17"/>
      <c r="K144" s="18" t="s">
        <v>15</v>
      </c>
      <c r="L144" s="17"/>
    </row>
    <row r="145" ht="15.75" customHeight="1">
      <c r="A145" s="30">
        <v>144.0</v>
      </c>
      <c r="B145" s="30">
        <v>4.0</v>
      </c>
      <c r="C145" s="4" t="s">
        <v>24</v>
      </c>
      <c r="D145" s="5" t="str">
        <f>IFERROR(__xludf.DUMMYFUNCTION("LET(
  words, TRANSPOSE(SPLIT($C145,""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)"),"followers . Marami ang nagbigay")</f>
        <v>followers . Marami ang nagbigay</v>
      </c>
      <c r="E145" s="3" t="str">
        <f>IFERROR(__xludf.DUMMYFUNCTION("INDEX(SPLIT($C145,"" ""), ROW()-ROW($E$119)+1)
"),"Marami")</f>
        <v>Marami</v>
      </c>
      <c r="F145" s="30" t="s">
        <v>16</v>
      </c>
      <c r="G145" s="31"/>
      <c r="H145" s="1" t="s">
        <v>0</v>
      </c>
      <c r="I145" s="16"/>
      <c r="J145" s="17"/>
      <c r="K145" s="18" t="s">
        <v>15</v>
      </c>
      <c r="L145" s="17"/>
    </row>
    <row r="146" ht="15.75" customHeight="1">
      <c r="A146" s="30">
        <v>145.0</v>
      </c>
      <c r="B146" s="30">
        <v>4.0</v>
      </c>
      <c r="C146" s="4" t="s">
        <v>24</v>
      </c>
      <c r="D146" s="5" t="str">
        <f>IFERROR(__xludf.DUMMYFUNCTION("LET(
  words, TRANSPOSE(SPLIT($C146,""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Marami ang nagbigay ng")</f>
        <v>. Marami ang nagbigay ng</v>
      </c>
      <c r="E146" s="3" t="str">
        <f>IFERROR(__xludf.DUMMYFUNCTION("INDEX(SPLIT($C146,"" ""), ROW()-ROW($E$119)+1)
"),"ang")</f>
        <v>ang</v>
      </c>
      <c r="F146" s="30" t="s">
        <v>16</v>
      </c>
      <c r="G146" s="2"/>
      <c r="H146" s="1" t="s">
        <v>0</v>
      </c>
      <c r="I146" s="2"/>
      <c r="J146" s="2"/>
      <c r="K146" s="1" t="s">
        <v>15</v>
      </c>
    </row>
    <row r="147" ht="15.75" customHeight="1">
      <c r="A147" s="30">
        <v>146.0</v>
      </c>
      <c r="B147" s="30">
        <v>4.0</v>
      </c>
      <c r="C147" s="4" t="s">
        <v>24</v>
      </c>
      <c r="D147" s="5" t="str">
        <f>IFERROR(__xludf.DUMMYFUNCTION("LET(
  words, TRANSPOSE(SPLIT($C147,""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)"),"Marami ang nagbigay ng tips")</f>
        <v>Marami ang nagbigay ng tips</v>
      </c>
      <c r="E147" s="3" t="str">
        <f>IFERROR(__xludf.DUMMYFUNCTION("INDEX(SPLIT($C147,"" ""), ROW()-ROW($E$119)+1)
"),"nagbigay")</f>
        <v>nagbigay</v>
      </c>
      <c r="F147" s="30" t="s">
        <v>16</v>
      </c>
      <c r="G147" s="2"/>
      <c r="H147" s="1" t="s">
        <v>0</v>
      </c>
      <c r="I147" s="2"/>
      <c r="J147" s="2"/>
      <c r="K147" s="1" t="s">
        <v>15</v>
      </c>
    </row>
    <row r="148" ht="15.75" customHeight="1">
      <c r="A148" s="30">
        <v>147.0</v>
      </c>
      <c r="B148" s="30">
        <v>4.0</v>
      </c>
      <c r="C148" s="4" t="s">
        <v>24</v>
      </c>
      <c r="D148" s="5" t="str">
        <f>IFERROR(__xludf.DUMMYFUNCTION("LET(
  words, TRANSPOSE(SPLIT($C148,""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nagbigay ng tips ,")</f>
        <v>ang nagbigay ng tips ,</v>
      </c>
      <c r="E148" s="3" t="str">
        <f>IFERROR(__xludf.DUMMYFUNCTION("INDEX(SPLIT($C148,"" ""), ROW()-ROW($E$119)+1)
"),"ng")</f>
        <v>ng</v>
      </c>
      <c r="F148" s="30" t="s">
        <v>16</v>
      </c>
      <c r="G148" s="2"/>
      <c r="H148" s="1" t="s">
        <v>0</v>
      </c>
      <c r="I148" s="2"/>
      <c r="J148" s="2"/>
      <c r="K148" s="1" t="s">
        <v>15</v>
      </c>
    </row>
    <row r="149" ht="15.75" customHeight="1">
      <c r="A149" s="30">
        <v>148.0</v>
      </c>
      <c r="B149" s="30">
        <v>4.0</v>
      </c>
      <c r="C149" s="4" t="s">
        <v>24</v>
      </c>
      <c r="D149" s="5" t="str">
        <f>IFERROR(__xludf.DUMMYFUNCTION("LET(
  words, TRANSPOSE(SPLIT($C149,""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)"),"nagbigay ng tips , habang")</f>
        <v>nagbigay ng tips , habang</v>
      </c>
      <c r="E149" s="3" t="str">
        <f>IFERROR(__xludf.DUMMYFUNCTION("INDEX(SPLIT($C149,"" ""), ROW()-ROW($E$119)+1)
"),"tips")</f>
        <v>tips</v>
      </c>
      <c r="F149" s="30" t="s">
        <v>18</v>
      </c>
      <c r="G149" s="2"/>
      <c r="H149" s="1" t="s">
        <v>0</v>
      </c>
      <c r="I149" s="2"/>
      <c r="J149" s="2"/>
      <c r="K149" s="1" t="s">
        <v>15</v>
      </c>
    </row>
    <row r="150" ht="15.75" customHeight="1">
      <c r="A150" s="30">
        <v>149.0</v>
      </c>
      <c r="B150" s="30">
        <v>4.0</v>
      </c>
      <c r="C150" s="4" t="s">
        <v>24</v>
      </c>
      <c r="D150" s="5" t="str">
        <f>IFERROR(__xludf.DUMMYFUNCTION("LET(
  words, TRANSPOSE(SPLIT($C150,""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)"),"ng tips , habang ang")</f>
        <v>ng tips , habang ang</v>
      </c>
      <c r="E150" s="3" t="str">
        <f>IFERROR(__xludf.DUMMYFUNCTION("INDEX(SPLIT($C150,"" ""), ROW()-ROW($E$119)+1)
"),",")</f>
        <v>,</v>
      </c>
      <c r="F150" s="30" t="s">
        <v>17</v>
      </c>
      <c r="G150" s="2"/>
      <c r="H150" s="1" t="s">
        <v>0</v>
      </c>
      <c r="I150" s="2"/>
      <c r="J150" s="2"/>
      <c r="K150" s="1" t="s">
        <v>15</v>
      </c>
    </row>
    <row r="151" ht="15.75" customHeight="1">
      <c r="A151" s="30">
        <v>150.0</v>
      </c>
      <c r="B151" s="30">
        <v>4.0</v>
      </c>
      <c r="C151" s="4" t="s">
        <v>24</v>
      </c>
      <c r="D151" s="5" t="str">
        <f>IFERROR(__xludf.DUMMYFUNCTION("LET(
  words, TRANSPOSE(SPLIT($C151,""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)"),"tips , habang ang iba")</f>
        <v>tips , habang ang iba</v>
      </c>
      <c r="E151" s="3" t="str">
        <f>IFERROR(__xludf.DUMMYFUNCTION("INDEX(SPLIT($C151,"" ""), ROW()-ROW($E$119)+1)
"),"habang")</f>
        <v>habang</v>
      </c>
      <c r="F151" s="30" t="s">
        <v>16</v>
      </c>
      <c r="G151" s="2"/>
      <c r="H151" s="1" t="s">
        <v>0</v>
      </c>
      <c r="I151" s="2"/>
      <c r="J151" s="2"/>
      <c r="K151" s="1" t="s">
        <v>15</v>
      </c>
    </row>
    <row r="152" ht="15.75" customHeight="1">
      <c r="A152" s="30">
        <v>151.0</v>
      </c>
      <c r="B152" s="30">
        <v>4.0</v>
      </c>
      <c r="C152" s="4" t="s">
        <v>24</v>
      </c>
      <c r="D152" s="5" t="str">
        <f>IFERROR(__xludf.DUMMYFUNCTION("LET(
  words, TRANSPOSE(SPLIT($C152,""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habang ang iba namay")</f>
        <v>, habang ang iba namay</v>
      </c>
      <c r="E152" s="3" t="str">
        <f>IFERROR(__xludf.DUMMYFUNCTION("INDEX(SPLIT($C152,"" ""), ROW()-ROW($E$119)+1)
"),"ang")</f>
        <v>ang</v>
      </c>
      <c r="F152" s="30" t="s">
        <v>16</v>
      </c>
      <c r="G152" s="2"/>
      <c r="H152" s="1" t="s">
        <v>0</v>
      </c>
      <c r="I152" s="2"/>
      <c r="J152" s="2"/>
      <c r="K152" s="1" t="s">
        <v>15</v>
      </c>
    </row>
    <row r="153" ht="15.75" customHeight="1">
      <c r="A153" s="30">
        <v>152.0</v>
      </c>
      <c r="B153" s="30">
        <v>4.0</v>
      </c>
      <c r="C153" s="4" t="s">
        <v>24</v>
      </c>
      <c r="D153" s="5" t="str">
        <f>IFERROR(__xludf.DUMMYFUNCTION("LET(
  words, TRANSPOSE(SPLIT($C153,""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)"),"habang ang iba namay umaming")</f>
        <v>habang ang iba namay umaming</v>
      </c>
      <c r="E153" s="3" t="str">
        <f>IFERROR(__xludf.DUMMYFUNCTION("INDEX(SPLIT($C153,"" ""), ROW()-ROW($E$119)+1)
"),"iba")</f>
        <v>iba</v>
      </c>
      <c r="F153" s="30" t="s">
        <v>16</v>
      </c>
      <c r="G153" s="2"/>
      <c r="H153" s="1" t="s">
        <v>0</v>
      </c>
      <c r="I153" s="2"/>
      <c r="J153" s="2"/>
      <c r="K153" s="1" t="s">
        <v>15</v>
      </c>
    </row>
    <row r="154" ht="15.75" customHeight="1">
      <c r="A154" s="30">
        <v>153.0</v>
      </c>
      <c r="B154" s="30">
        <v>4.0</v>
      </c>
      <c r="C154" s="4" t="s">
        <v>24</v>
      </c>
      <c r="D154" s="5" t="str">
        <f>IFERROR(__xludf.DUMMYFUNCTION("LET(
  words, TRANSPOSE(SPLIT($C154,""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iba namay umaming gusto")</f>
        <v>ang iba namay umaming gusto</v>
      </c>
      <c r="E154" s="3" t="str">
        <f>IFERROR(__xludf.DUMMYFUNCTION("INDEX(SPLIT($C154,"" ""), ROW()-ROW($E$119)+1)
"),"namay")</f>
        <v>namay</v>
      </c>
      <c r="F154" s="30" t="s">
        <v>16</v>
      </c>
      <c r="G154" s="31"/>
      <c r="H154" s="1" t="s">
        <v>0</v>
      </c>
      <c r="I154" s="16"/>
      <c r="J154" s="17"/>
      <c r="K154" s="18" t="s">
        <v>15</v>
      </c>
      <c r="L154" s="17"/>
    </row>
    <row r="155" ht="15.75" customHeight="1">
      <c r="A155" s="30">
        <v>154.0</v>
      </c>
      <c r="B155" s="30">
        <v>4.0</v>
      </c>
      <c r="C155" s="4" t="s">
        <v>24</v>
      </c>
      <c r="D155" s="5" t="str">
        <f>IFERROR(__xludf.DUMMYFUNCTION("LET(
  words, TRANSPOSE(SPLIT($C155,""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)"),"iba namay umaming gusto rin")</f>
        <v>iba namay umaming gusto rin</v>
      </c>
      <c r="E155" s="3" t="str">
        <f>IFERROR(__xludf.DUMMYFUNCTION("INDEX(SPLIT($C155,"" ""), ROW()-ROW($E$119)+1)
"),"umaming")</f>
        <v>umaming</v>
      </c>
      <c r="F155" s="30" t="s">
        <v>16</v>
      </c>
      <c r="G155" s="31"/>
      <c r="H155" s="1" t="s">
        <v>0</v>
      </c>
      <c r="I155" s="16"/>
      <c r="J155" s="17"/>
      <c r="K155" s="18" t="s">
        <v>15</v>
      </c>
      <c r="L155" s="17"/>
    </row>
    <row r="156" ht="15.75" customHeight="1">
      <c r="A156" s="30">
        <v>155.0</v>
      </c>
      <c r="B156" s="30">
        <v>4.0</v>
      </c>
      <c r="C156" s="4" t="s">
        <v>24</v>
      </c>
      <c r="D156" s="5" t="str">
        <f>IFERROR(__xludf.DUMMYFUNCTION("LET(
  words, TRANSPOSE(SPLIT($C156,""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)"),"namay umaming gusto rin nilang")</f>
        <v>namay umaming gusto rin nilang</v>
      </c>
      <c r="E156" s="3" t="str">
        <f>IFERROR(__xludf.DUMMYFUNCTION("INDEX(SPLIT($C156,"" ""), ROW()-ROW($E$119)+1)
"),"gusto")</f>
        <v>gusto</v>
      </c>
      <c r="F156" s="30" t="s">
        <v>16</v>
      </c>
      <c r="G156" s="31"/>
      <c r="H156" s="1" t="s">
        <v>0</v>
      </c>
      <c r="I156" s="16"/>
      <c r="J156" s="17"/>
      <c r="K156" s="18" t="s">
        <v>15</v>
      </c>
      <c r="L156" s="17"/>
    </row>
    <row r="157" ht="15.75" customHeight="1">
      <c r="A157" s="30">
        <v>156.0</v>
      </c>
      <c r="B157" s="30">
        <v>4.0</v>
      </c>
      <c r="C157" s="4" t="s">
        <v>24</v>
      </c>
      <c r="D157" s="5" t="str">
        <f>IFERROR(__xludf.DUMMYFUNCTION("LET(
  words, TRANSPOSE(SPLIT($C157,""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)"),"umaming gusto rin nilang matutunan")</f>
        <v>umaming gusto rin nilang matutunan</v>
      </c>
      <c r="E157" s="3" t="str">
        <f>IFERROR(__xludf.DUMMYFUNCTION("INDEX(SPLIT($C157,"" ""), ROW()-ROW($E$119)+1)
"),"rin")</f>
        <v>rin</v>
      </c>
      <c r="F157" s="30" t="s">
        <v>16</v>
      </c>
      <c r="G157" s="31"/>
      <c r="H157" s="1" t="s">
        <v>0</v>
      </c>
      <c r="I157" s="16"/>
      <c r="J157" s="17"/>
      <c r="K157" s="18" t="s">
        <v>15</v>
      </c>
      <c r="L157" s="17"/>
    </row>
    <row r="158" ht="15.75" customHeight="1">
      <c r="A158" s="30">
        <v>157.0</v>
      </c>
      <c r="B158" s="30">
        <v>4.0</v>
      </c>
      <c r="C158" s="4" t="s">
        <v>24</v>
      </c>
      <c r="D158" s="5" t="str">
        <f>IFERROR(__xludf.DUMMYFUNCTION("LET(
  words, TRANSPOSE(SPLIT($C158,""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)"),"gusto rin nilang matutunan ang")</f>
        <v>gusto rin nilang matutunan ang</v>
      </c>
      <c r="E158" s="3" t="str">
        <f>IFERROR(__xludf.DUMMYFUNCTION("INDEX(SPLIT($C158,"" ""), ROW()-ROW($E$119)+1)
"),"nilang")</f>
        <v>nilang</v>
      </c>
      <c r="F158" s="30" t="s">
        <v>16</v>
      </c>
      <c r="G158" s="31"/>
      <c r="H158" s="1" t="s">
        <v>0</v>
      </c>
      <c r="I158" s="16"/>
      <c r="J158" s="17"/>
      <c r="K158" s="18" t="s">
        <v>15</v>
      </c>
      <c r="L158" s="17"/>
    </row>
    <row r="159" ht="15.75" customHeight="1">
      <c r="A159" s="30">
        <v>158.0</v>
      </c>
      <c r="B159" s="30">
        <v>4.0</v>
      </c>
      <c r="C159" s="4" t="s">
        <v>24</v>
      </c>
      <c r="D159" s="5" t="str">
        <f>IFERROR(__xludf.DUMMYFUNCTION("LET(
  words, TRANSPOSE(SPLIT($C159,""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)"),"rin nilang matutunan ang trick")</f>
        <v>rin nilang matutunan ang trick</v>
      </c>
      <c r="E159" s="3" t="str">
        <f>IFERROR(__xludf.DUMMYFUNCTION("INDEX(SPLIT($C159,"" ""), ROW()-ROW($E$119)+1)
"),"matutunan")</f>
        <v>matutunan</v>
      </c>
      <c r="F159" s="30" t="s">
        <v>16</v>
      </c>
      <c r="G159" s="31"/>
      <c r="H159" s="1" t="s">
        <v>0</v>
      </c>
      <c r="I159" s="16"/>
      <c r="J159" s="17"/>
      <c r="K159" s="18" t="s">
        <v>15</v>
      </c>
      <c r="L159" s="17"/>
    </row>
    <row r="160" ht="15.75" customHeight="1">
      <c r="A160" s="30">
        <v>159.0</v>
      </c>
      <c r="B160" s="30">
        <v>4.0</v>
      </c>
      <c r="C160" s="4" t="s">
        <v>24</v>
      </c>
      <c r="D160" s="5" t="str">
        <f>IFERROR(__xludf.DUMMYFUNCTION("LET(
  words, TRANSPOSE(SPLIT($C160,""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)"),"nilang matutunan ang trick na")</f>
        <v>nilang matutunan ang trick na</v>
      </c>
      <c r="E160" s="3" t="str">
        <f>IFERROR(__xludf.DUMMYFUNCTION("INDEX(SPLIT($C160,"" ""), ROW()-ROW($E$119)+1)
"),"ang")</f>
        <v>ang</v>
      </c>
      <c r="F160" s="30" t="s">
        <v>16</v>
      </c>
      <c r="G160" s="31"/>
      <c r="H160" s="1" t="s">
        <v>0</v>
      </c>
      <c r="I160" s="16"/>
      <c r="J160" s="17"/>
      <c r="K160" s="18" t="s">
        <v>15</v>
      </c>
      <c r="L160" s="17"/>
    </row>
    <row r="161" ht="15.75" customHeight="1">
      <c r="A161" s="30">
        <v>160.0</v>
      </c>
      <c r="B161" s="30">
        <v>4.0</v>
      </c>
      <c r="C161" s="4" t="s">
        <v>24</v>
      </c>
      <c r="D161" s="5" t="str">
        <f>IFERROR(__xludf.DUMMYFUNCTION("LET(
  words, TRANSPOSE(SPLIT($C161,""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)"),"matutunan ang trick na iyon")</f>
        <v>matutunan ang trick na iyon</v>
      </c>
      <c r="E161" s="3" t="str">
        <f>IFERROR(__xludf.DUMMYFUNCTION("INDEX(SPLIT($C161,"" ""), ROW()-ROW($E$119)+1)
"),"trick")</f>
        <v>trick</v>
      </c>
      <c r="F161" s="30" t="s">
        <v>18</v>
      </c>
      <c r="G161" s="31"/>
      <c r="H161" s="1" t="s">
        <v>0</v>
      </c>
      <c r="I161" s="16"/>
      <c r="J161" s="17"/>
      <c r="K161" s="18" t="s">
        <v>15</v>
      </c>
      <c r="L161" s="17"/>
    </row>
    <row r="162" ht="15.75" customHeight="1">
      <c r="A162" s="30">
        <v>161.0</v>
      </c>
      <c r="B162" s="30">
        <v>4.0</v>
      </c>
      <c r="C162" s="4" t="s">
        <v>24</v>
      </c>
      <c r="D162" s="5" t="str">
        <f>IFERROR(__xludf.DUMMYFUNCTION("LET(
  words, TRANSPOSE(SPLIT($C162,""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trick na iyon .")</f>
        <v>ang trick na iyon .</v>
      </c>
      <c r="E162" s="3" t="str">
        <f>IFERROR(__xludf.DUMMYFUNCTION("INDEX(SPLIT($C162,"" ""), ROW()-ROW($E$119)+1)
"),"na")</f>
        <v>na</v>
      </c>
      <c r="F162" s="30" t="s">
        <v>16</v>
      </c>
      <c r="G162" s="31"/>
      <c r="H162" s="1" t="s">
        <v>0</v>
      </c>
      <c r="I162" s="16"/>
      <c r="J162" s="17"/>
      <c r="K162" s="18" t="s">
        <v>15</v>
      </c>
      <c r="L162" s="17"/>
    </row>
    <row r="163" ht="15.75" customHeight="1">
      <c r="A163" s="30">
        <v>162.0</v>
      </c>
      <c r="B163" s="30">
        <v>4.0</v>
      </c>
      <c r="C163" s="4" t="s">
        <v>24</v>
      </c>
      <c r="D163" s="5" t="str">
        <f>IFERROR(__xludf.DUMMYFUNCTION("LET(
  words, TRANSPOSE(SPLIT($C163,""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)"),"trick na iyon .")</f>
        <v>trick na iyon .</v>
      </c>
      <c r="E163" s="3" t="str">
        <f>IFERROR(__xludf.DUMMYFUNCTION("INDEX(SPLIT($C163,"" ""), ROW()-ROW($E$119)+1)
"),"iyon")</f>
        <v>iyon</v>
      </c>
      <c r="F163" s="30" t="s">
        <v>16</v>
      </c>
      <c r="G163" s="31"/>
      <c r="H163" s="1" t="s">
        <v>0</v>
      </c>
      <c r="I163" s="16"/>
      <c r="J163" s="17"/>
      <c r="K163" s="18" t="s">
        <v>15</v>
      </c>
      <c r="L163" s="17"/>
    </row>
    <row r="164" ht="15.75" customHeight="1">
      <c r="A164" s="32">
        <v>163.0</v>
      </c>
      <c r="B164" s="32">
        <v>4.0</v>
      </c>
      <c r="C164" s="7" t="s">
        <v>24</v>
      </c>
      <c r="D164" s="8" t="str">
        <f>IFERROR(__xludf.DUMMYFUNCTION("LET(
  words, TRANSPOSE(SPLIT($C164,"" "")),
  n, ROWS(words),
  i, ROW() - ROW($D$119)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iyon .")</f>
        <v>na iyon .</v>
      </c>
      <c r="E164" s="9" t="str">
        <f>IFERROR(__xludf.DUMMYFUNCTION("INDEX(SPLIT($C164,"" ""), ROW()-ROW($E$119)+1)
"),".")</f>
        <v>.</v>
      </c>
      <c r="F164" s="32" t="s">
        <v>17</v>
      </c>
      <c r="G164" s="33"/>
      <c r="H164" s="10" t="s">
        <v>0</v>
      </c>
      <c r="I164" s="24"/>
      <c r="J164" s="25"/>
      <c r="K164" s="26" t="s">
        <v>15</v>
      </c>
      <c r="L164" s="25"/>
    </row>
    <row r="165" ht="15.75" customHeight="1">
      <c r="A165" s="34">
        <v>164.0</v>
      </c>
      <c r="B165" s="34">
        <v>5.0</v>
      </c>
      <c r="C165" s="13" t="s">
        <v>26</v>
      </c>
      <c r="D165" s="14" t="str">
        <f>IFERROR(__xludf.DUMMYFUNCTION("LET(
  words, TRANSPOSE(SPLIT($C165,""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)"),"knina po ksi")</f>
        <v>knina po ksi</v>
      </c>
      <c r="E165" s="15" t="str">
        <f>IFERROR(__xludf.DUMMYFUNCTION("INDEX(SPLIT($C165,"" ""), ROW()-ROW($E$165)+1)
"),"knina")</f>
        <v>knina</v>
      </c>
      <c r="F165" s="34" t="s">
        <v>16</v>
      </c>
      <c r="G165" s="34" t="s">
        <v>19</v>
      </c>
      <c r="H165" s="1" t="s">
        <v>0</v>
      </c>
      <c r="I165" s="27"/>
      <c r="J165" s="28"/>
      <c r="K165" s="29" t="s">
        <v>15</v>
      </c>
      <c r="L165" s="28"/>
    </row>
    <row r="166" ht="15.75" customHeight="1">
      <c r="A166" s="34">
        <v>165.0</v>
      </c>
      <c r="B166" s="34">
        <v>5.0</v>
      </c>
      <c r="C166" s="13" t="s">
        <v>26</v>
      </c>
      <c r="D166" s="14" t="str">
        <f>IFERROR(__xludf.DUMMYFUNCTION("LET(
  words, TRANSPOSE(SPLIT($C166,""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)"),"knina po ksi may")</f>
        <v>knina po ksi may</v>
      </c>
      <c r="E166" s="15" t="str">
        <f>IFERROR(__xludf.DUMMYFUNCTION("INDEX(SPLIT($C166,"" ""), ROW()-ROW($E$165)+1)
"),"po")</f>
        <v>po</v>
      </c>
      <c r="F166" s="34" t="s">
        <v>16</v>
      </c>
      <c r="G166" s="35"/>
      <c r="H166" s="1" t="s">
        <v>0</v>
      </c>
      <c r="I166" s="16"/>
      <c r="J166" s="17"/>
      <c r="K166" s="18" t="s">
        <v>15</v>
      </c>
      <c r="L166" s="17"/>
    </row>
    <row r="167" ht="15.75" customHeight="1">
      <c r="A167" s="34">
        <v>166.0</v>
      </c>
      <c r="B167" s="34">
        <v>5.0</v>
      </c>
      <c r="C167" s="13" t="s">
        <v>26</v>
      </c>
      <c r="D167" s="14" t="str">
        <f>IFERROR(__xludf.DUMMYFUNCTION("LET(
  words, TRANSPOSE(SPLIT($C167,""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)"),"knina po ksi may isa")</f>
        <v>knina po ksi may isa</v>
      </c>
      <c r="E167" s="15" t="str">
        <f>IFERROR(__xludf.DUMMYFUNCTION("INDEX(SPLIT($C167,"" ""), ROW()-ROW($E$165)+1)
"),"ksi")</f>
        <v>ksi</v>
      </c>
      <c r="F167" s="34" t="s">
        <v>16</v>
      </c>
      <c r="G167" s="34" t="s">
        <v>19</v>
      </c>
      <c r="H167" s="1" t="s">
        <v>0</v>
      </c>
      <c r="I167" s="16"/>
      <c r="J167" s="17"/>
      <c r="K167" s="18" t="s">
        <v>15</v>
      </c>
      <c r="L167" s="17"/>
    </row>
    <row r="168" ht="15.75" customHeight="1">
      <c r="A168" s="34">
        <v>167.0</v>
      </c>
      <c r="B168" s="34">
        <v>5.0</v>
      </c>
      <c r="C168" s="13" t="s">
        <v>26</v>
      </c>
      <c r="D168" s="14" t="str">
        <f>IFERROR(__xludf.DUMMYFUNCTION("LET(
  words, TRANSPOSE(SPLIT($C168,""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 ksi may isa pa")</f>
        <v>po ksi may isa pa</v>
      </c>
      <c r="E168" s="15" t="str">
        <f>IFERROR(__xludf.DUMMYFUNCTION("INDEX(SPLIT($C168,"" ""), ROW()-ROW($E$165)+1)
"),"may")</f>
        <v>may</v>
      </c>
      <c r="F168" s="34" t="s">
        <v>16</v>
      </c>
      <c r="G168" s="35"/>
      <c r="H168" s="1" t="s">
        <v>0</v>
      </c>
      <c r="I168" s="16"/>
      <c r="J168" s="17"/>
      <c r="K168" s="18" t="s">
        <v>15</v>
      </c>
      <c r="L168" s="17"/>
    </row>
    <row r="169" ht="15.75" customHeight="1">
      <c r="A169" s="34">
        <v>168.0</v>
      </c>
      <c r="B169" s="34">
        <v>5.0</v>
      </c>
      <c r="C169" s="13" t="s">
        <v>26</v>
      </c>
      <c r="D169" s="14" t="str">
        <f>IFERROR(__xludf.DUMMYFUNCTION("LET(
  words, TRANSPOSE(SPLIT($C169,""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)"),"ksi may isa pa pero")</f>
        <v>ksi may isa pa pero</v>
      </c>
      <c r="E169" s="15" t="str">
        <f>IFERROR(__xludf.DUMMYFUNCTION("INDEX(SPLIT($C169,"" ""), ROW()-ROW($E$165)+1)
"),"isa")</f>
        <v>isa</v>
      </c>
      <c r="F169" s="34" t="s">
        <v>16</v>
      </c>
      <c r="G169" s="35"/>
      <c r="H169" s="1" t="s">
        <v>0</v>
      </c>
      <c r="I169" s="16"/>
      <c r="J169" s="17"/>
      <c r="K169" s="18" t="s">
        <v>15</v>
      </c>
      <c r="L169" s="17"/>
    </row>
    <row r="170" ht="15.75" customHeight="1">
      <c r="A170" s="34">
        <v>169.0</v>
      </c>
      <c r="B170" s="34">
        <v>5.0</v>
      </c>
      <c r="C170" s="13" t="s">
        <v>26</v>
      </c>
      <c r="D170" s="14" t="str">
        <f>IFERROR(__xludf.DUMMYFUNCTION("LET(
  words, TRANSPOSE(SPLIT($C170,""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)"),"may isa pa pero nung")</f>
        <v>may isa pa pero nung</v>
      </c>
      <c r="E170" s="15" t="str">
        <f>IFERROR(__xludf.DUMMYFUNCTION("INDEX(SPLIT($C170,"" ""), ROW()-ROW($E$165)+1)
"),"pa")</f>
        <v>pa</v>
      </c>
      <c r="F170" s="34" t="s">
        <v>16</v>
      </c>
      <c r="G170" s="35"/>
      <c r="H170" s="1" t="s">
        <v>0</v>
      </c>
      <c r="I170" s="16"/>
      <c r="J170" s="17"/>
      <c r="K170" s="18" t="s">
        <v>15</v>
      </c>
      <c r="L170" s="17"/>
    </row>
    <row r="171" ht="15.75" customHeight="1">
      <c r="A171" s="34">
        <v>170.0</v>
      </c>
      <c r="B171" s="34">
        <v>5.0</v>
      </c>
      <c r="C171" s="13" t="s">
        <v>26</v>
      </c>
      <c r="D171" s="14" t="str">
        <f>IFERROR(__xludf.DUMMYFUNCTION("LET(
  words, TRANSPOSE(SPLIT($C171,""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)"),"isa pa pero nung cnabi")</f>
        <v>isa pa pero nung cnabi</v>
      </c>
      <c r="E171" s="15" t="str">
        <f>IFERROR(__xludf.DUMMYFUNCTION("INDEX(SPLIT($C171,"" ""), ROW()-ROW($E$165)+1)
"),"pero")</f>
        <v>pero</v>
      </c>
      <c r="F171" s="34" t="s">
        <v>16</v>
      </c>
      <c r="G171" s="35"/>
      <c r="H171" s="1" t="s">
        <v>0</v>
      </c>
      <c r="I171" s="16"/>
      <c r="J171" s="17"/>
      <c r="K171" s="18" t="s">
        <v>15</v>
      </c>
      <c r="L171" s="17"/>
    </row>
    <row r="172" ht="15.75" customHeight="1">
      <c r="A172" s="34">
        <v>171.0</v>
      </c>
      <c r="B172" s="34">
        <v>5.0</v>
      </c>
      <c r="C172" s="13" t="s">
        <v>26</v>
      </c>
      <c r="D172" s="14" t="str">
        <f>IFERROR(__xludf.DUMMYFUNCTION("LET(
  words, TRANSPOSE(SPLIT($C172,""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 pero nung cnabi ko")</f>
        <v>pa pero nung cnabi ko</v>
      </c>
      <c r="E172" s="15" t="str">
        <f>IFERROR(__xludf.DUMMYFUNCTION("INDEX(SPLIT($C172,"" ""), ROW()-ROW($E$165)+1)
"),"nung")</f>
        <v>nung</v>
      </c>
      <c r="F172" s="34" t="s">
        <v>16</v>
      </c>
      <c r="G172" s="35"/>
      <c r="H172" s="1" t="s">
        <v>0</v>
      </c>
      <c r="I172" s="16"/>
      <c r="J172" s="17"/>
      <c r="K172" s="18" t="s">
        <v>15</v>
      </c>
      <c r="L172" s="17"/>
    </row>
    <row r="173" ht="15.75" customHeight="1">
      <c r="A173" s="34">
        <v>172.0</v>
      </c>
      <c r="B173" s="34">
        <v>5.0</v>
      </c>
      <c r="C173" s="13" t="s">
        <v>26</v>
      </c>
      <c r="D173" s="14" t="str">
        <f>IFERROR(__xludf.DUMMYFUNCTION("LET(
  words, TRANSPOSE(SPLIT($C173,""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)"),"pero nung cnabi ko tatagal")</f>
        <v>pero nung cnabi ko tatagal</v>
      </c>
      <c r="E173" s="15" t="str">
        <f>IFERROR(__xludf.DUMMYFUNCTION("INDEX(SPLIT($C173,"" ""), ROW()-ROW($E$165)+1)
"),"cnabi")</f>
        <v>cnabi</v>
      </c>
      <c r="F173" s="34" t="s">
        <v>16</v>
      </c>
      <c r="G173" s="34" t="s">
        <v>19</v>
      </c>
      <c r="H173" s="1" t="s">
        <v>0</v>
      </c>
      <c r="I173" s="16"/>
      <c r="J173" s="17"/>
      <c r="K173" s="18" t="s">
        <v>15</v>
      </c>
      <c r="L173" s="17"/>
    </row>
    <row r="174" ht="15.75" customHeight="1">
      <c r="A174" s="34">
        <v>173.0</v>
      </c>
      <c r="B174" s="34">
        <v>5.0</v>
      </c>
      <c r="C174" s="13" t="s">
        <v>26</v>
      </c>
      <c r="D174" s="14" t="str">
        <f>IFERROR(__xludf.DUMMYFUNCTION("LET(
  words, TRANSPOSE(SPLIT($C174,""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)"),"nung cnabi ko tatagal kmi")</f>
        <v>nung cnabi ko tatagal kmi</v>
      </c>
      <c r="E174" s="15" t="str">
        <f>IFERROR(__xludf.DUMMYFUNCTION("INDEX(SPLIT($C174,"" ""), ROW()-ROW($E$165)+1)
"),"ko")</f>
        <v>ko</v>
      </c>
      <c r="F174" s="34" t="s">
        <v>16</v>
      </c>
      <c r="G174" s="35"/>
      <c r="H174" s="1" t="s">
        <v>0</v>
      </c>
      <c r="I174" s="16"/>
      <c r="J174" s="17"/>
      <c r="K174" s="18" t="s">
        <v>15</v>
      </c>
      <c r="L174" s="17"/>
    </row>
    <row r="175" ht="15.75" customHeight="1">
      <c r="A175" s="34">
        <v>174.0</v>
      </c>
      <c r="B175" s="34">
        <v>5.0</v>
      </c>
      <c r="C175" s="13" t="s">
        <v>26</v>
      </c>
      <c r="D175" s="14" t="str">
        <f>IFERROR(__xludf.DUMMYFUNCTION("LET(
  words, TRANSPOSE(SPLIT($C175,""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)"),"cnabi ko tatagal kmi dumating")</f>
        <v>cnabi ko tatagal kmi dumating</v>
      </c>
      <c r="E175" s="15" t="str">
        <f>IFERROR(__xludf.DUMMYFUNCTION("INDEX(SPLIT($C175,"" ""), ROW()-ROW($E$165)+1)
"),"tatagal")</f>
        <v>tatagal</v>
      </c>
      <c r="F175" s="34" t="s">
        <v>16</v>
      </c>
      <c r="G175" s="35"/>
      <c r="H175" s="1" t="s">
        <v>0</v>
      </c>
      <c r="I175" s="16"/>
      <c r="J175" s="17"/>
      <c r="K175" s="18" t="s">
        <v>15</v>
      </c>
      <c r="L175" s="17"/>
    </row>
    <row r="176" ht="15.75" customHeight="1">
      <c r="A176" s="34">
        <v>175.0</v>
      </c>
      <c r="B176" s="34">
        <v>5.0</v>
      </c>
      <c r="C176" s="13" t="s">
        <v>26</v>
      </c>
      <c r="D176" s="14" t="str">
        <f>IFERROR(__xludf.DUMMYFUNCTION("LET(
  words, TRANSPOSE(SPLIT($C176,""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)"),"ko tatagal kmi dumating ung")</f>
        <v>ko tatagal kmi dumating ung</v>
      </c>
      <c r="E176" s="15" t="str">
        <f>IFERROR(__xludf.DUMMYFUNCTION("INDEX(SPLIT($C176,"" ""), ROW()-ROW($E$165)+1)
"),"kmi")</f>
        <v>kmi</v>
      </c>
      <c r="F176" s="34" t="s">
        <v>16</v>
      </c>
      <c r="G176" s="34" t="s">
        <v>19</v>
      </c>
      <c r="H176" s="1" t="s">
        <v>0</v>
      </c>
      <c r="I176" s="16"/>
      <c r="J176" s="17"/>
      <c r="K176" s="18" t="s">
        <v>15</v>
      </c>
      <c r="L176" s="17"/>
    </row>
    <row r="177" ht="15.75" customHeight="1">
      <c r="A177" s="34">
        <v>176.0</v>
      </c>
      <c r="B177" s="34">
        <v>5.0</v>
      </c>
      <c r="C177" s="13" t="s">
        <v>26</v>
      </c>
      <c r="D177" s="14" t="str">
        <f>IFERROR(__xludf.DUMMYFUNCTION("LET(
  words, TRANSPOSE(SPLIT($C177,""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)"),"tatagal kmi dumating ung pangalawang")</f>
        <v>tatagal kmi dumating ung pangalawang</v>
      </c>
      <c r="E177" s="15" t="str">
        <f>IFERROR(__xludf.DUMMYFUNCTION("INDEX(SPLIT($C177,"" ""), ROW()-ROW($E$165)+1)
"),"dumating")</f>
        <v>dumating</v>
      </c>
      <c r="F177" s="34" t="s">
        <v>16</v>
      </c>
      <c r="G177" s="35"/>
      <c r="H177" s="1" t="s">
        <v>0</v>
      </c>
      <c r="I177" s="16"/>
      <c r="J177" s="17"/>
      <c r="K177" s="18" t="s">
        <v>15</v>
      </c>
      <c r="L177" s="17"/>
    </row>
    <row r="178" ht="15.75" customHeight="1">
      <c r="A178" s="34">
        <v>177.0</v>
      </c>
      <c r="B178" s="34">
        <v>5.0</v>
      </c>
      <c r="C178" s="13" t="s">
        <v>26</v>
      </c>
      <c r="D178" s="14" t="str">
        <f>IFERROR(__xludf.DUMMYFUNCTION("LET(
  words, TRANSPOSE(SPLIT($C178,""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)"),"kmi dumating ung pangalawang barbero")</f>
        <v>kmi dumating ung pangalawang barbero</v>
      </c>
      <c r="E178" s="15" t="str">
        <f>IFERROR(__xludf.DUMMYFUNCTION("INDEX(SPLIT($C178,"" ""), ROW()-ROW($E$165)+1)
"),"ung")</f>
        <v>ung</v>
      </c>
      <c r="F178" s="34" t="s">
        <v>16</v>
      </c>
      <c r="G178" s="34" t="s">
        <v>19</v>
      </c>
      <c r="H178" s="1" t="s">
        <v>0</v>
      </c>
      <c r="I178" s="16"/>
      <c r="J178" s="17"/>
      <c r="K178" s="18" t="s">
        <v>15</v>
      </c>
      <c r="L178" s="17"/>
    </row>
    <row r="179" ht="15.75" customHeight="1">
      <c r="A179" s="34">
        <v>178.0</v>
      </c>
      <c r="B179" s="34">
        <v>5.0</v>
      </c>
      <c r="C179" s="13" t="s">
        <v>26</v>
      </c>
      <c r="D179" s="14" t="str">
        <f>IFERROR(__xludf.DUMMYFUNCTION("LET(
  words, TRANSPOSE(SPLIT($C179,""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)"),"dumating ung pangalawang barbero tapos")</f>
        <v>dumating ung pangalawang barbero tapos</v>
      </c>
      <c r="E179" s="15" t="str">
        <f>IFERROR(__xludf.DUMMYFUNCTION("INDEX(SPLIT($C179,"" ""), ROW()-ROW($E$165)+1)
"),"pangalawang")</f>
        <v>pangalawang</v>
      </c>
      <c r="F179" s="34" t="s">
        <v>16</v>
      </c>
      <c r="G179" s="35"/>
      <c r="H179" s="1" t="s">
        <v>0</v>
      </c>
      <c r="I179" s="16"/>
      <c r="J179" s="17"/>
      <c r="K179" s="18" t="s">
        <v>15</v>
      </c>
      <c r="L179" s="17"/>
    </row>
    <row r="180" ht="15.75" customHeight="1">
      <c r="A180" s="34">
        <v>179.0</v>
      </c>
      <c r="B180" s="34">
        <v>5.0</v>
      </c>
      <c r="C180" s="13" t="s">
        <v>26</v>
      </c>
      <c r="D180" s="14" t="str">
        <f>IFERROR(__xludf.DUMMYFUNCTION("LET(
  words, TRANSPOSE(SPLIT($C180,""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)"),"ung pangalawang barbero tapos ayun")</f>
        <v>ung pangalawang barbero tapos ayun</v>
      </c>
      <c r="E180" s="15" t="str">
        <f>IFERROR(__xludf.DUMMYFUNCTION("INDEX(SPLIT($C180,"" ""), ROW()-ROW($E$165)+1)
"),"barbero")</f>
        <v>barbero</v>
      </c>
      <c r="F180" s="34" t="s">
        <v>16</v>
      </c>
      <c r="G180" s="35"/>
      <c r="H180" s="1" t="s">
        <v>0</v>
      </c>
      <c r="I180" s="16"/>
      <c r="J180" s="17"/>
      <c r="K180" s="18" t="s">
        <v>15</v>
      </c>
      <c r="L180" s="17"/>
    </row>
    <row r="181" ht="15.75" customHeight="1">
      <c r="A181" s="34">
        <v>180.0</v>
      </c>
      <c r="B181" s="34">
        <v>5.0</v>
      </c>
      <c r="C181" s="13" t="s">
        <v>26</v>
      </c>
      <c r="D181" s="14" t="str">
        <f>IFERROR(__xludf.DUMMYFUNCTION("LET(
  words, TRANSPOSE(SPLIT($C181,""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)"),"pangalawang barbero tapos ayun nagpahaircut")</f>
        <v>pangalawang barbero tapos ayun nagpahaircut</v>
      </c>
      <c r="E181" s="15" t="str">
        <f>IFERROR(__xludf.DUMMYFUNCTION("INDEX(SPLIT($C181,"" ""), ROW()-ROW($E$165)+1)
"),"tapos")</f>
        <v>tapos</v>
      </c>
      <c r="F181" s="34" t="s">
        <v>16</v>
      </c>
      <c r="G181" s="35"/>
      <c r="H181" s="1" t="s">
        <v>0</v>
      </c>
      <c r="I181" s="16"/>
      <c r="J181" s="17"/>
      <c r="K181" s="18" t="s">
        <v>15</v>
      </c>
      <c r="L181" s="17"/>
    </row>
    <row r="182" ht="15.75" customHeight="1">
      <c r="A182" s="34">
        <v>181.0</v>
      </c>
      <c r="B182" s="34">
        <v>5.0</v>
      </c>
      <c r="C182" s="13" t="s">
        <v>26</v>
      </c>
      <c r="D182" s="14" t="str">
        <f>IFERROR(__xludf.DUMMYFUNCTION("LET(
  words, TRANSPOSE(SPLIT($C182,""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)"),"barbero tapos ayun nagpahaircut na")</f>
        <v>barbero tapos ayun nagpahaircut na</v>
      </c>
      <c r="E182" s="15" t="str">
        <f>IFERROR(__xludf.DUMMYFUNCTION("INDEX(SPLIT($C182,"" ""), ROW()-ROW($E$165)+1)
"),"ayun")</f>
        <v>ayun</v>
      </c>
      <c r="F182" s="34" t="s">
        <v>16</v>
      </c>
      <c r="G182" s="35"/>
      <c r="H182" s="1" t="s">
        <v>0</v>
      </c>
      <c r="I182" s="16"/>
      <c r="J182" s="17"/>
      <c r="K182" s="18" t="s">
        <v>15</v>
      </c>
      <c r="L182" s="17"/>
    </row>
    <row r="183" ht="15.75" customHeight="1">
      <c r="A183" s="34">
        <v>182.0</v>
      </c>
      <c r="B183" s="34">
        <v>5.0</v>
      </c>
      <c r="C183" s="13" t="s">
        <v>26</v>
      </c>
      <c r="D183" s="14" t="str">
        <f>IFERROR(__xludf.DUMMYFUNCTION("LET(
  words, TRANSPOSE(SPLIT($C183,""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)"),"tapos ayun nagpahaircut na kmi")</f>
        <v>tapos ayun nagpahaircut na kmi</v>
      </c>
      <c r="E183" s="15" t="str">
        <f>IFERROR(__xludf.DUMMYFUNCTION("INDEX(SPLIT($C183,"" ""), ROW()-ROW($E$165)+1)
"),"nagpahaircut")</f>
        <v>nagpahaircut</v>
      </c>
      <c r="F183" s="34" t="s">
        <v>23</v>
      </c>
      <c r="G183" s="35"/>
      <c r="H183" s="1" t="s">
        <v>0</v>
      </c>
      <c r="I183" s="16"/>
      <c r="J183" s="17"/>
      <c r="K183" s="18" t="s">
        <v>15</v>
      </c>
      <c r="L183" s="17"/>
    </row>
    <row r="184" ht="15.75" customHeight="1">
      <c r="A184" s="34">
        <v>183.0</v>
      </c>
      <c r="B184" s="34">
        <v>5.0</v>
      </c>
      <c r="C184" s="13" t="s">
        <v>26</v>
      </c>
      <c r="D184" s="14" t="str">
        <f>IFERROR(__xludf.DUMMYFUNCTION("LET(
  words, TRANSPOSE(SPLIT($C184,""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)"),"ayun nagpahaircut na kmi nang")</f>
        <v>ayun nagpahaircut na kmi nang</v>
      </c>
      <c r="E184" s="15" t="str">
        <f>IFERROR(__xludf.DUMMYFUNCTION("INDEX(SPLIT($C184,"" ""), ROW()-ROW($E$165)+1)
"),"na")</f>
        <v>na</v>
      </c>
      <c r="F184" s="34" t="s">
        <v>16</v>
      </c>
      <c r="G184" s="35"/>
      <c r="H184" s="1" t="s">
        <v>0</v>
      </c>
      <c r="I184" s="2"/>
      <c r="J184" s="2"/>
      <c r="K184" s="1" t="s">
        <v>15</v>
      </c>
    </row>
    <row r="185" ht="15.75" customHeight="1">
      <c r="A185" s="34">
        <v>184.0</v>
      </c>
      <c r="B185" s="34">
        <v>5.0</v>
      </c>
      <c r="C185" s="13" t="s">
        <v>26</v>
      </c>
      <c r="D185" s="14" t="str">
        <f>IFERROR(__xludf.DUMMYFUNCTION("LET(
  words, TRANSPOSE(SPLIT($C185,""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)"),"nagpahaircut na kmi nang sabay")</f>
        <v>nagpahaircut na kmi nang sabay</v>
      </c>
      <c r="E185" s="15" t="str">
        <f>IFERROR(__xludf.DUMMYFUNCTION("INDEX(SPLIT($C185,"" ""), ROW()-ROW($E$165)+1)
"),"kmi")</f>
        <v>kmi</v>
      </c>
      <c r="F185" s="34" t="s">
        <v>16</v>
      </c>
      <c r="G185" s="34" t="s">
        <v>19</v>
      </c>
      <c r="H185" s="1" t="s">
        <v>0</v>
      </c>
      <c r="I185" s="2"/>
      <c r="J185" s="2"/>
      <c r="K185" s="1" t="s">
        <v>15</v>
      </c>
    </row>
    <row r="186" ht="15.75" customHeight="1">
      <c r="A186" s="34">
        <v>185.0</v>
      </c>
      <c r="B186" s="34">
        <v>5.0</v>
      </c>
      <c r="C186" s="13" t="s">
        <v>26</v>
      </c>
      <c r="D186" s="14" t="str">
        <f>IFERROR(__xludf.DUMMYFUNCTION("LET(
  words, TRANSPOSE(SPLIT($C186,""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kmi nang sabay")</f>
        <v>na kmi nang sabay</v>
      </c>
      <c r="E186" s="15" t="str">
        <f>IFERROR(__xludf.DUMMYFUNCTION("INDEX(SPLIT($C186,"" ""), ROW()-ROW($E$165)+1)
"),"nang")</f>
        <v>nang</v>
      </c>
      <c r="F186" s="34" t="s">
        <v>16</v>
      </c>
      <c r="G186" s="35"/>
      <c r="H186" s="1" t="s">
        <v>0</v>
      </c>
      <c r="I186" s="2"/>
      <c r="J186" s="2"/>
      <c r="K186" s="1" t="s">
        <v>15</v>
      </c>
    </row>
    <row r="187" ht="15.75" customHeight="1">
      <c r="A187" s="36">
        <v>186.0</v>
      </c>
      <c r="B187" s="36">
        <v>5.0</v>
      </c>
      <c r="C187" s="21" t="s">
        <v>26</v>
      </c>
      <c r="D187" s="22" t="str">
        <f>IFERROR(__xludf.DUMMYFUNCTION("LET(
  words, TRANSPOSE(SPLIT($C187,"" "")),
  n, ROWS(words),
  i, ROW() - ROW($D$165)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)"),"kmi nang sabay")</f>
        <v>kmi nang sabay</v>
      </c>
      <c r="E187" s="23" t="str">
        <f>IFERROR(__xludf.DUMMYFUNCTION("INDEX(SPLIT($C187,"" ""), ROW()-ROW($E$165)+1)
"),"sabay")</f>
        <v>sabay</v>
      </c>
      <c r="F187" s="36" t="s">
        <v>16</v>
      </c>
      <c r="G187" s="37"/>
      <c r="H187" s="10" t="s">
        <v>0</v>
      </c>
      <c r="I187" s="6"/>
      <c r="J187" s="6"/>
      <c r="K187" s="10" t="s">
        <v>15</v>
      </c>
      <c r="L187" s="6"/>
    </row>
    <row r="188" ht="15.75" customHeight="1">
      <c r="A188" s="30">
        <v>187.0</v>
      </c>
      <c r="B188" s="1">
        <v>6.0</v>
      </c>
      <c r="C188" s="4" t="s">
        <v>27</v>
      </c>
      <c r="D188" s="5" t="str">
        <f>IFERROR(__xludf.DUMMYFUNCTION("LET(
  words, TRANSPOSE(SPLIT($C188,""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)"),"2 carts nalang")</f>
        <v>2 carts nalang</v>
      </c>
      <c r="E188" s="3">
        <f>IFERROR(__xludf.DUMMYFUNCTION("INDEX(SPLIT($C188,"" ""), ROW()-ROW($E$188)+1)
"),2.0)</f>
        <v>2</v>
      </c>
      <c r="F188" s="34" t="s">
        <v>25</v>
      </c>
      <c r="G188" s="2"/>
      <c r="H188" s="1" t="s">
        <v>0</v>
      </c>
      <c r="I188" s="2"/>
      <c r="J188" s="2"/>
      <c r="K188" s="1" t="s">
        <v>15</v>
      </c>
    </row>
    <row r="189" ht="15.75" customHeight="1">
      <c r="A189" s="30">
        <v>188.0</v>
      </c>
      <c r="B189" s="1">
        <v>6.0</v>
      </c>
      <c r="C189" s="4" t="s">
        <v>27</v>
      </c>
      <c r="D189" s="5" t="str">
        <f>IFERROR(__xludf.DUMMYFUNCTION("LET(
  words, TRANSPOSE(SPLIT($C189,""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)"),"2 carts nalang po")</f>
        <v>2 carts nalang po</v>
      </c>
      <c r="E189" s="3" t="str">
        <f>IFERROR(__xludf.DUMMYFUNCTION("INDEX(SPLIT($C189,"" ""), ROW()-ROW($E$188)+1)
"),"carts")</f>
        <v>carts</v>
      </c>
      <c r="F189" s="34" t="s">
        <v>18</v>
      </c>
      <c r="G189" s="2"/>
      <c r="H189" s="1" t="s">
        <v>0</v>
      </c>
      <c r="I189" s="2"/>
      <c r="J189" s="2"/>
      <c r="K189" s="1" t="s">
        <v>15</v>
      </c>
    </row>
    <row r="190" ht="15.75" customHeight="1">
      <c r="A190" s="30">
        <v>189.0</v>
      </c>
      <c r="B190" s="1">
        <v>6.0</v>
      </c>
      <c r="C190" s="4" t="s">
        <v>27</v>
      </c>
      <c r="D190" s="5" t="str">
        <f>IFERROR(__xludf.DUMMYFUNCTION("LET(
  words, TRANSPOSE(SPLIT($C190,""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)"),"2 carts nalang po ,")</f>
        <v>2 carts nalang po ,</v>
      </c>
      <c r="E190" s="3" t="str">
        <f>IFERROR(__xludf.DUMMYFUNCTION("INDEX(SPLIT($C190,"" ""), ROW()-ROW($E$188)+1)
"),"nalang")</f>
        <v>nalang</v>
      </c>
      <c r="F190" s="34" t="s">
        <v>16</v>
      </c>
      <c r="G190" s="2"/>
      <c r="H190" s="1" t="s">
        <v>0</v>
      </c>
      <c r="I190" s="2"/>
      <c r="J190" s="2"/>
      <c r="K190" s="1" t="s">
        <v>15</v>
      </c>
    </row>
    <row r="191" ht="15.75" customHeight="1">
      <c r="A191" s="30">
        <v>190.0</v>
      </c>
      <c r="B191" s="1">
        <v>6.0</v>
      </c>
      <c r="C191" s="4" t="s">
        <v>27</v>
      </c>
      <c r="D191" s="5" t="str">
        <f>IFERROR(__xludf.DUMMYFUNCTION("LET(
  words, TRANSPOSE(SPLIT($C191,""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)"),"carts nalang po , isinascan")</f>
        <v>carts nalang po , isinascan</v>
      </c>
      <c r="E191" s="3" t="str">
        <f>IFERROR(__xludf.DUMMYFUNCTION("INDEX(SPLIT($C191,"" ""), ROW()-ROW($E$188)+1)
"),"po")</f>
        <v>po</v>
      </c>
      <c r="F191" s="34" t="s">
        <v>16</v>
      </c>
      <c r="G191" s="2"/>
      <c r="H191" s="1" t="s">
        <v>0</v>
      </c>
      <c r="I191" s="2"/>
      <c r="J191" s="2"/>
      <c r="K191" s="1" t="s">
        <v>15</v>
      </c>
    </row>
    <row r="192" ht="15.75" customHeight="1">
      <c r="A192" s="30">
        <v>191.0</v>
      </c>
      <c r="B192" s="1">
        <v>6.0</v>
      </c>
      <c r="C192" s="4" t="s">
        <v>27</v>
      </c>
      <c r="D192" s="5" t="str">
        <f>IFERROR(__xludf.DUMMYFUNCTION("LET(
  words, TRANSPOSE(SPLIT($C192,""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)"),"nalang po , isinascan na")</f>
        <v>nalang po , isinascan na</v>
      </c>
      <c r="E192" s="3" t="str">
        <f>IFERROR(__xludf.DUMMYFUNCTION("INDEX(SPLIT($C192,"" ""), ROW()-ROW($E$188)+1)
"),",")</f>
        <v>,</v>
      </c>
      <c r="F192" s="34" t="s">
        <v>17</v>
      </c>
      <c r="G192" s="2"/>
      <c r="H192" s="1" t="s">
        <v>0</v>
      </c>
      <c r="I192" s="2"/>
      <c r="J192" s="2"/>
      <c r="K192" s="1" t="s">
        <v>15</v>
      </c>
    </row>
    <row r="193" ht="15.75" customHeight="1">
      <c r="A193" s="30">
        <v>192.0</v>
      </c>
      <c r="B193" s="1">
        <v>6.0</v>
      </c>
      <c r="C193" s="4" t="s">
        <v>27</v>
      </c>
      <c r="D193" s="5" t="str">
        <f>IFERROR(__xludf.DUMMYFUNCTION("LET(
  words, TRANSPOSE(SPLIT($C193,""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 , isinascan na po")</f>
        <v>po , isinascan na po</v>
      </c>
      <c r="E193" s="3" t="str">
        <f>IFERROR(__xludf.DUMMYFUNCTION("INDEX(SPLIT($C193,"" ""), ROW()-ROW($E$188)+1)
"),"isinascan")</f>
        <v>isinascan</v>
      </c>
      <c r="F193" s="34" t="s">
        <v>23</v>
      </c>
      <c r="G193" s="2"/>
      <c r="H193" s="1" t="s">
        <v>0</v>
      </c>
      <c r="I193" s="2"/>
      <c r="J193" s="2"/>
      <c r="K193" s="1" t="s">
        <v>15</v>
      </c>
    </row>
    <row r="194" ht="15.75" customHeight="1">
      <c r="A194" s="30">
        <v>193.0</v>
      </c>
      <c r="B194" s="1">
        <v>6.0</v>
      </c>
      <c r="C194" s="4" t="s">
        <v>27</v>
      </c>
      <c r="D194" s="5" t="str">
        <f>IFERROR(__xludf.DUMMYFUNCTION("LET(
  words, TRANSPOSE(SPLIT($C194,""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isinascan na po ung")</f>
        <v>, isinascan na po ung</v>
      </c>
      <c r="E194" s="3" t="str">
        <f>IFERROR(__xludf.DUMMYFUNCTION("INDEX(SPLIT($C194,"" ""), ROW()-ROW($E$188)+1)
"),"na")</f>
        <v>na</v>
      </c>
      <c r="F194" s="34" t="s">
        <v>16</v>
      </c>
      <c r="G194" s="2"/>
      <c r="H194" s="1" t="s">
        <v>0</v>
      </c>
      <c r="I194" s="2"/>
      <c r="J194" s="2"/>
      <c r="K194" s="1" t="s">
        <v>15</v>
      </c>
    </row>
    <row r="195" ht="15.75" customHeight="1">
      <c r="A195" s="30">
        <v>194.0</v>
      </c>
      <c r="B195" s="1">
        <v>6.0</v>
      </c>
      <c r="C195" s="4" t="s">
        <v>27</v>
      </c>
      <c r="D195" s="5" t="str">
        <f>IFERROR(__xludf.DUMMYFUNCTION("LET(
  words, TRANSPOSE(SPLIT($C195,""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)"),"isinascan na po ung isa")</f>
        <v>isinascan na po ung isa</v>
      </c>
      <c r="E195" s="3" t="str">
        <f>IFERROR(__xludf.DUMMYFUNCTION("INDEX(SPLIT($C195,"" ""), ROW()-ROW($E$188)+1)
"),"po")</f>
        <v>po</v>
      </c>
      <c r="F195" s="34" t="s">
        <v>16</v>
      </c>
      <c r="G195" s="2"/>
      <c r="H195" s="1" t="s">
        <v>0</v>
      </c>
      <c r="I195" s="2"/>
      <c r="J195" s="2"/>
      <c r="K195" s="1" t="s">
        <v>15</v>
      </c>
    </row>
    <row r="196" ht="15.75" customHeight="1">
      <c r="A196" s="30">
        <v>195.0</v>
      </c>
      <c r="B196" s="1">
        <v>6.0</v>
      </c>
      <c r="C196" s="4" t="s">
        <v>27</v>
      </c>
      <c r="D196" s="5" t="str">
        <f>IFERROR(__xludf.DUMMYFUNCTION("LET(
  words, TRANSPOSE(SPLIT($C196,""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po ung isa ksi")</f>
        <v>na po ung isa ksi</v>
      </c>
      <c r="E196" s="3" t="str">
        <f>IFERROR(__xludf.DUMMYFUNCTION("INDEX(SPLIT($C196,"" ""), ROW()-ROW($E$188)+1)
"),"ung")</f>
        <v>ung</v>
      </c>
      <c r="F196" s="34" t="s">
        <v>16</v>
      </c>
      <c r="G196" s="2"/>
      <c r="H196" s="1" t="s">
        <v>0</v>
      </c>
      <c r="I196" s="2"/>
      <c r="J196" s="2"/>
      <c r="K196" s="1" t="s">
        <v>15</v>
      </c>
    </row>
    <row r="197" ht="15.75" customHeight="1">
      <c r="A197" s="30">
        <v>196.0</v>
      </c>
      <c r="B197" s="1">
        <v>6.0</v>
      </c>
      <c r="C197" s="4" t="s">
        <v>27</v>
      </c>
      <c r="D197" s="5" t="str">
        <f>IFERROR(__xludf.DUMMYFUNCTION("LET(
  words, TRANSPOSE(SPLIT($C197,""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 ung isa ksi andaming")</f>
        <v>po ung isa ksi andaming</v>
      </c>
      <c r="E197" s="3" t="str">
        <f>IFERROR(__xludf.DUMMYFUNCTION("INDEX(SPLIT($C197,"" ""), ROW()-ROW($E$188)+1)
"),"isa")</f>
        <v>isa</v>
      </c>
      <c r="F197" s="34" t="s">
        <v>16</v>
      </c>
      <c r="G197" s="2"/>
      <c r="H197" s="1" t="s">
        <v>0</v>
      </c>
      <c r="I197" s="2"/>
      <c r="J197" s="2"/>
      <c r="K197" s="1" t="s">
        <v>15</v>
      </c>
    </row>
    <row r="198" ht="15.75" customHeight="1">
      <c r="A198" s="30">
        <v>197.0</v>
      </c>
      <c r="B198" s="1">
        <v>6.0</v>
      </c>
      <c r="C198" s="4" t="s">
        <v>27</v>
      </c>
      <c r="D198" s="5" t="str">
        <f>IFERROR(__xludf.DUMMYFUNCTION("LET(
  words, TRANSPOSE(SPLIT($C198,""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)"),"ung isa ksi andaming open")</f>
        <v>ung isa ksi andaming open</v>
      </c>
      <c r="E198" s="3" t="str">
        <f>IFERROR(__xludf.DUMMYFUNCTION("INDEX(SPLIT($C198,"" ""), ROW()-ROW($E$188)+1)
"),"ksi")</f>
        <v>ksi</v>
      </c>
      <c r="F198" s="34" t="s">
        <v>16</v>
      </c>
      <c r="G198" s="2"/>
      <c r="H198" s="1" t="s">
        <v>0</v>
      </c>
      <c r="I198" s="2"/>
      <c r="J198" s="2"/>
      <c r="K198" s="1" t="s">
        <v>15</v>
      </c>
    </row>
    <row r="199" ht="15.75" customHeight="1">
      <c r="A199" s="30">
        <v>198.0</v>
      </c>
      <c r="B199" s="1">
        <v>6.0</v>
      </c>
      <c r="C199" s="4" t="s">
        <v>27</v>
      </c>
      <c r="D199" s="5" t="str">
        <f>IFERROR(__xludf.DUMMYFUNCTION("LET(
  words, TRANSPOSE(SPLIT($C199,""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)"),"isa ksi andaming open cashier")</f>
        <v>isa ksi andaming open cashier</v>
      </c>
      <c r="E199" s="3" t="str">
        <f>IFERROR(__xludf.DUMMYFUNCTION("INDEX(SPLIT($C199,"" ""), ROW()-ROW($E$188)+1)
"),"andaming")</f>
        <v>andaming</v>
      </c>
      <c r="F199" s="34" t="s">
        <v>16</v>
      </c>
      <c r="G199" s="2"/>
      <c r="H199" s="1" t="s">
        <v>0</v>
      </c>
      <c r="I199" s="31"/>
      <c r="J199" s="16"/>
      <c r="K199" s="18" t="s">
        <v>15</v>
      </c>
      <c r="L199" s="17"/>
    </row>
    <row r="200" ht="15.75" customHeight="1">
      <c r="A200" s="30">
        <v>199.0</v>
      </c>
      <c r="B200" s="1">
        <v>6.0</v>
      </c>
      <c r="C200" s="4" t="s">
        <v>27</v>
      </c>
      <c r="D200" s="5" t="str">
        <f>IFERROR(__xludf.DUMMYFUNCTION("LET(
  words, TRANSPOSE(SPLIT($C200,""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)"),"ksi andaming open cashier .")</f>
        <v>ksi andaming open cashier .</v>
      </c>
      <c r="E200" s="3" t="str">
        <f>IFERROR(__xludf.DUMMYFUNCTION("INDEX(SPLIT($C200,"" ""), ROW()-ROW($E$188)+1)
"),"open")</f>
        <v>open</v>
      </c>
      <c r="F200" s="34" t="s">
        <v>18</v>
      </c>
      <c r="G200" s="2"/>
      <c r="H200" s="1" t="s">
        <v>0</v>
      </c>
      <c r="I200" s="31"/>
      <c r="J200" s="16"/>
      <c r="K200" s="18" t="s">
        <v>15</v>
      </c>
      <c r="L200" s="17"/>
    </row>
    <row r="201" ht="15.75" customHeight="1">
      <c r="A201" s="30">
        <v>200.0</v>
      </c>
      <c r="B201" s="1">
        <v>6.0</v>
      </c>
      <c r="C201" s="4" t="s">
        <v>27</v>
      </c>
      <c r="D201" s="5" t="str">
        <f>IFERROR(__xludf.DUMMYFUNCTION("LET(
  words, TRANSPOSE(SPLIT($C201,""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)"),"andaming open cashier . .")</f>
        <v>andaming open cashier . .</v>
      </c>
      <c r="E201" s="3" t="str">
        <f>IFERROR(__xludf.DUMMYFUNCTION("INDEX(SPLIT($C201,"" ""), ROW()-ROW($E$188)+1)
"),"cashier")</f>
        <v>cashier</v>
      </c>
      <c r="F201" s="34" t="s">
        <v>18</v>
      </c>
      <c r="G201" s="2"/>
      <c r="H201" s="1" t="s">
        <v>0</v>
      </c>
      <c r="I201" s="31"/>
      <c r="J201" s="16"/>
      <c r="K201" s="18" t="s">
        <v>15</v>
      </c>
      <c r="L201" s="17"/>
    </row>
    <row r="202" ht="15.75" customHeight="1">
      <c r="A202" s="30">
        <v>201.0</v>
      </c>
      <c r="B202" s="1">
        <v>6.0</v>
      </c>
      <c r="C202" s="4" t="s">
        <v>27</v>
      </c>
      <c r="D202" s="5" t="str">
        <f>IFERROR(__xludf.DUMMYFUNCTION("LET(
  words, TRANSPOSE(SPLIT($C202,""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)"),"open cashier . . .")</f>
        <v>open cashier . . .</v>
      </c>
      <c r="E202" s="3" t="str">
        <f>IFERROR(__xludf.DUMMYFUNCTION("INDEX(SPLIT($C202,"" ""), ROW()-ROW($E$188)+1)
"),".")</f>
        <v>.</v>
      </c>
      <c r="F202" s="34" t="s">
        <v>17</v>
      </c>
      <c r="G202" s="2"/>
      <c r="H202" s="1" t="s">
        <v>0</v>
      </c>
      <c r="I202" s="31"/>
      <c r="J202" s="16"/>
      <c r="K202" s="18" t="s">
        <v>15</v>
      </c>
      <c r="L202" s="17"/>
    </row>
    <row r="203" ht="15.75" customHeight="1">
      <c r="A203" s="30">
        <v>202.0</v>
      </c>
      <c r="B203" s="1">
        <v>6.0</v>
      </c>
      <c r="C203" s="4" t="s">
        <v>27</v>
      </c>
      <c r="D203" s="5" t="str">
        <f>IFERROR(__xludf.DUMMYFUNCTION("LET(
  words, TRANSPOSE(SPLIT($C203,""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)"),"cashier . . . ung")</f>
        <v>cashier . . . ung</v>
      </c>
      <c r="E203" s="3" t="str">
        <f>IFERROR(__xludf.DUMMYFUNCTION("INDEX(SPLIT($C203,"" ""), ROW()-ROW($E$188)+1)
"),".")</f>
        <v>.</v>
      </c>
      <c r="F203" s="34" t="s">
        <v>17</v>
      </c>
      <c r="G203" s="2"/>
      <c r="H203" s="1" t="s">
        <v>0</v>
      </c>
      <c r="I203" s="31"/>
      <c r="J203" s="16"/>
      <c r="K203" s="18" t="s">
        <v>15</v>
      </c>
      <c r="L203" s="17"/>
    </row>
    <row r="204" ht="15.75" customHeight="1">
      <c r="A204" s="30">
        <v>203.0</v>
      </c>
      <c r="B204" s="1">
        <v>6.0</v>
      </c>
      <c r="C204" s="4" t="s">
        <v>27</v>
      </c>
      <c r="D204" s="5" t="str">
        <f>IFERROR(__xludf.DUMMYFUNCTION("LET(
  words, TRANSPOSE(SPLIT($C204,""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. . ung Hagen")</f>
        <v>. . . ung Hagen</v>
      </c>
      <c r="E204" s="3" t="str">
        <f>IFERROR(__xludf.DUMMYFUNCTION("INDEX(SPLIT($C204,"" ""), ROW()-ROW($E$188)+1)
"),".")</f>
        <v>.</v>
      </c>
      <c r="F204" s="34" t="s">
        <v>17</v>
      </c>
      <c r="G204" s="2"/>
      <c r="H204" s="1" t="s">
        <v>0</v>
      </c>
      <c r="I204" s="31"/>
      <c r="J204" s="16"/>
      <c r="K204" s="18" t="s">
        <v>15</v>
      </c>
      <c r="L204" s="17"/>
    </row>
    <row r="205" ht="15.75" customHeight="1">
      <c r="A205" s="30">
        <v>204.0</v>
      </c>
      <c r="B205" s="1">
        <v>6.0</v>
      </c>
      <c r="C205" s="4" t="s">
        <v>27</v>
      </c>
      <c r="D205" s="5" t="str">
        <f>IFERROR(__xludf.DUMMYFUNCTION("LET(
  words, TRANSPOSE(SPLIT($C205,""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. ung Hagen Daaz")</f>
        <v>. . ung Hagen Daaz</v>
      </c>
      <c r="E205" s="3" t="str">
        <f>IFERROR(__xludf.DUMMYFUNCTION("INDEX(SPLIT($C205,"" ""), ROW()-ROW($E$188)+1)
"),"ung")</f>
        <v>ung</v>
      </c>
      <c r="F205" s="34" t="s">
        <v>16</v>
      </c>
      <c r="G205" s="2"/>
      <c r="H205" s="1" t="s">
        <v>0</v>
      </c>
      <c r="I205" s="31"/>
      <c r="J205" s="16"/>
      <c r="K205" s="18" t="s">
        <v>15</v>
      </c>
      <c r="L205" s="17"/>
    </row>
    <row r="206" ht="15.75" customHeight="1">
      <c r="A206" s="30">
        <v>205.0</v>
      </c>
      <c r="B206" s="1">
        <v>6.0</v>
      </c>
      <c r="C206" s="4" t="s">
        <v>27</v>
      </c>
      <c r="D206" s="5" t="str">
        <f>IFERROR(__xludf.DUMMYFUNCTION("LET(
  words, TRANSPOSE(SPLIT($C206,""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ung Hagen Daaz po")</f>
        <v>. ung Hagen Daaz po</v>
      </c>
      <c r="E206" s="3" t="str">
        <f>IFERROR(__xludf.DUMMYFUNCTION("INDEX(SPLIT($C206,"" ""), ROW()-ROW($E$188)+1)
"),"Hagen")</f>
        <v>Hagen</v>
      </c>
      <c r="F206" s="34" t="s">
        <v>13</v>
      </c>
      <c r="G206" s="1" t="s">
        <v>28</v>
      </c>
      <c r="H206" s="1" t="s">
        <v>0</v>
      </c>
      <c r="I206" s="31"/>
      <c r="J206" s="16"/>
      <c r="K206" s="18" t="s">
        <v>15</v>
      </c>
      <c r="L206" s="17"/>
    </row>
    <row r="207" ht="15.75" customHeight="1">
      <c r="A207" s="30">
        <v>206.0</v>
      </c>
      <c r="B207" s="1">
        <v>6.0</v>
      </c>
      <c r="C207" s="4" t="s">
        <v>27</v>
      </c>
      <c r="D207" s="5" t="str">
        <f>IFERROR(__xludf.DUMMYFUNCTION("LET(
  words, TRANSPOSE(SPLIT($C207,""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)"),"ung Hagen Daaz po pakuha")</f>
        <v>ung Hagen Daaz po pakuha</v>
      </c>
      <c r="E207" s="3" t="str">
        <f>IFERROR(__xludf.DUMMYFUNCTION("INDEX(SPLIT($C207,"" ""), ROW()-ROW($E$188)+1)
"),"Daaz")</f>
        <v>Daaz</v>
      </c>
      <c r="F207" s="34" t="s">
        <v>13</v>
      </c>
      <c r="G207" s="1" t="s">
        <v>28</v>
      </c>
      <c r="H207" s="1" t="s">
        <v>0</v>
      </c>
      <c r="I207" s="31"/>
      <c r="J207" s="16"/>
      <c r="K207" s="18" t="s">
        <v>15</v>
      </c>
      <c r="L207" s="17"/>
    </row>
    <row r="208" ht="15.75" customHeight="1">
      <c r="A208" s="30">
        <v>207.0</v>
      </c>
      <c r="B208" s="1">
        <v>6.0</v>
      </c>
      <c r="C208" s="4" t="s">
        <v>27</v>
      </c>
      <c r="D208" s="5" t="str">
        <f>IFERROR(__xludf.DUMMYFUNCTION("LET(
  words, TRANSPOSE(SPLIT($C208,""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)"),"Hagen Daaz po pakuha na")</f>
        <v>Hagen Daaz po pakuha na</v>
      </c>
      <c r="E208" s="3" t="str">
        <f>IFERROR(__xludf.DUMMYFUNCTION("INDEX(SPLIT($C208,"" ""), ROW()-ROW($E$188)+1)
"),"po")</f>
        <v>po</v>
      </c>
      <c r="F208" s="34" t="s">
        <v>16</v>
      </c>
      <c r="G208" s="2"/>
      <c r="H208" s="1" t="s">
        <v>0</v>
      </c>
      <c r="I208" s="31"/>
      <c r="J208" s="16"/>
      <c r="K208" s="18" t="s">
        <v>15</v>
      </c>
      <c r="L208" s="17"/>
    </row>
    <row r="209" ht="15.75" customHeight="1">
      <c r="A209" s="30">
        <v>208.0</v>
      </c>
      <c r="B209" s="1">
        <v>6.0</v>
      </c>
      <c r="C209" s="4" t="s">
        <v>27</v>
      </c>
      <c r="D209" s="5" t="str">
        <f>IFERROR(__xludf.DUMMYFUNCTION("LET(
  words, TRANSPOSE(SPLIT($C209,""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)"),"Daaz po pakuha na rin")</f>
        <v>Daaz po pakuha na rin</v>
      </c>
      <c r="E209" s="3" t="str">
        <f>IFERROR(__xludf.DUMMYFUNCTION("INDEX(SPLIT($C209,"" ""), ROW()-ROW($E$188)+1)
"),"pakuha")</f>
        <v>pakuha</v>
      </c>
      <c r="F209" s="34" t="s">
        <v>16</v>
      </c>
      <c r="G209" s="2"/>
      <c r="H209" s="1" t="s">
        <v>0</v>
      </c>
      <c r="I209" s="31"/>
      <c r="J209" s="16"/>
      <c r="K209" s="18" t="s">
        <v>15</v>
      </c>
      <c r="L209" s="17"/>
    </row>
    <row r="210" ht="15.75" customHeight="1">
      <c r="A210" s="30">
        <v>209.0</v>
      </c>
      <c r="B210" s="1">
        <v>6.0</v>
      </c>
      <c r="C210" s="4" t="s">
        <v>27</v>
      </c>
      <c r="D210" s="5" t="str">
        <f>IFERROR(__xludf.DUMMYFUNCTION("LET(
  words, TRANSPOSE(SPLIT($C210,""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 pakuha na rin thank")</f>
        <v>po pakuha na rin thank</v>
      </c>
      <c r="E210" s="3" t="str">
        <f>IFERROR(__xludf.DUMMYFUNCTION("INDEX(SPLIT($C210,"" ""), ROW()-ROW($E$188)+1)
"),"na")</f>
        <v>na</v>
      </c>
      <c r="F210" s="34" t="s">
        <v>16</v>
      </c>
      <c r="G210" s="2"/>
      <c r="H210" s="1" t="s">
        <v>0</v>
      </c>
      <c r="I210" s="31"/>
      <c r="J210" s="16"/>
      <c r="K210" s="18" t="s">
        <v>15</v>
      </c>
      <c r="L210" s="17"/>
    </row>
    <row r="211" ht="15.75" customHeight="1">
      <c r="A211" s="30">
        <v>210.0</v>
      </c>
      <c r="B211" s="1">
        <v>6.0</v>
      </c>
      <c r="C211" s="4" t="s">
        <v>27</v>
      </c>
      <c r="D211" s="5" t="str">
        <f>IFERROR(__xludf.DUMMYFUNCTION("LET(
  words, TRANSPOSE(SPLIT($C211,""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)"),"pakuha na rin thank u")</f>
        <v>pakuha na rin thank u</v>
      </c>
      <c r="E211" s="3" t="str">
        <f>IFERROR(__xludf.DUMMYFUNCTION("INDEX(SPLIT($C211,"" ""), ROW()-ROW($E$188)+1)
"),"rin")</f>
        <v>rin</v>
      </c>
      <c r="F211" s="34" t="s">
        <v>16</v>
      </c>
      <c r="G211" s="2"/>
      <c r="H211" s="1" t="s">
        <v>0</v>
      </c>
      <c r="I211" s="31"/>
      <c r="J211" s="16"/>
      <c r="K211" s="18" t="s">
        <v>15</v>
      </c>
      <c r="L211" s="17"/>
    </row>
    <row r="212" ht="15.75" customHeight="1">
      <c r="A212" s="30">
        <v>211.0</v>
      </c>
      <c r="B212" s="1">
        <v>6.0</v>
      </c>
      <c r="C212" s="4" t="s">
        <v>27</v>
      </c>
      <c r="D212" s="5" t="str">
        <f>IFERROR(__xludf.DUMMYFUNCTION("LET(
  words, TRANSPOSE(SPLIT($C212,""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rin thank u ay")</f>
        <v>na rin thank u ay</v>
      </c>
      <c r="E212" s="3" t="str">
        <f>IFERROR(__xludf.DUMMYFUNCTION("INDEX(SPLIT($C212,"" ""), ROW()-ROW($E$188)+1)
"),"thank")</f>
        <v>thank</v>
      </c>
      <c r="F212" s="34" t="s">
        <v>18</v>
      </c>
      <c r="G212" s="2"/>
      <c r="H212" s="1" t="s">
        <v>0</v>
      </c>
      <c r="I212" s="31"/>
      <c r="J212" s="16"/>
      <c r="K212" s="18" t="s">
        <v>15</v>
      </c>
      <c r="L212" s="17"/>
    </row>
    <row r="213" ht="15.75" customHeight="1">
      <c r="A213" s="30">
        <v>212.0</v>
      </c>
      <c r="B213" s="1">
        <v>6.0</v>
      </c>
      <c r="C213" s="4" t="s">
        <v>27</v>
      </c>
      <c r="D213" s="5" t="str">
        <f>IFERROR(__xludf.DUMMYFUNCTION("LET(
  words, TRANSPOSE(SPLIT($C213,""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)"),"rin thank u ay cashier")</f>
        <v>rin thank u ay cashier</v>
      </c>
      <c r="E213" s="3" t="str">
        <f>IFERROR(__xludf.DUMMYFUNCTION("INDEX(SPLIT($C213,"" ""), ROW()-ROW($E$188)+1)
"),"u")</f>
        <v>u</v>
      </c>
      <c r="F213" s="34" t="s">
        <v>18</v>
      </c>
      <c r="G213" s="2"/>
      <c r="H213" s="1" t="s">
        <v>0</v>
      </c>
      <c r="I213" s="31"/>
      <c r="J213" s="16"/>
      <c r="K213" s="18" t="s">
        <v>15</v>
      </c>
      <c r="L213" s="17"/>
    </row>
    <row r="214" ht="15.75" customHeight="1">
      <c r="A214" s="30">
        <v>213.0</v>
      </c>
      <c r="B214" s="1">
        <v>6.0</v>
      </c>
      <c r="C214" s="4" t="s">
        <v>27</v>
      </c>
      <c r="D214" s="5" t="str">
        <f>IFERROR(__xludf.DUMMYFUNCTION("LET(
  words, TRANSPOSE(SPLIT($C214,""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)"),"thank u ay cashier 15")</f>
        <v>thank u ay cashier 15</v>
      </c>
      <c r="E214" s="3" t="str">
        <f>IFERROR(__xludf.DUMMYFUNCTION("INDEX(SPLIT($C214,"" ""), ROW()-ROW($E$188)+1)
"),"ay")</f>
        <v>ay</v>
      </c>
      <c r="F214" s="34" t="s">
        <v>16</v>
      </c>
      <c r="G214" s="2"/>
      <c r="H214" s="1" t="s">
        <v>0</v>
      </c>
      <c r="I214" s="31"/>
      <c r="J214" s="16"/>
      <c r="K214" s="18" t="s">
        <v>15</v>
      </c>
      <c r="L214" s="17"/>
    </row>
    <row r="215" ht="15.75" customHeight="1">
      <c r="A215" s="30">
        <v>214.0</v>
      </c>
      <c r="B215" s="1">
        <v>6.0</v>
      </c>
      <c r="C215" s="4" t="s">
        <v>27</v>
      </c>
      <c r="D215" s="5" t="str">
        <f>IFERROR(__xludf.DUMMYFUNCTION("LET(
  words, TRANSPOSE(SPLIT($C215,""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)"),"u ay cashier 15 nga")</f>
        <v>u ay cashier 15 nga</v>
      </c>
      <c r="E215" s="3" t="str">
        <f>IFERROR(__xludf.DUMMYFUNCTION("INDEX(SPLIT($C215,"" ""), ROW()-ROW($E$188)+1)
"),"cashier")</f>
        <v>cashier</v>
      </c>
      <c r="F215" s="34" t="s">
        <v>18</v>
      </c>
      <c r="G215" s="2"/>
      <c r="H215" s="1" t="s">
        <v>0</v>
      </c>
      <c r="I215" s="31"/>
      <c r="J215" s="16"/>
      <c r="K215" s="18" t="s">
        <v>15</v>
      </c>
      <c r="L215" s="17"/>
    </row>
    <row r="216" ht="15.75" customHeight="1">
      <c r="A216" s="30">
        <v>215.0</v>
      </c>
      <c r="B216" s="1">
        <v>6.0</v>
      </c>
      <c r="C216" s="4" t="s">
        <v>27</v>
      </c>
      <c r="D216" s="5" t="str">
        <f>IFERROR(__xludf.DUMMYFUNCTION("LET(
  words, TRANSPOSE(SPLIT($C216,""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)"),"ay cashier 15 nga po")</f>
        <v>ay cashier 15 nga po</v>
      </c>
      <c r="E216" s="3">
        <f>IFERROR(__xludf.DUMMYFUNCTION("INDEX(SPLIT($C216,"" ""), ROW()-ROW($E$188)+1)
"),15.0)</f>
        <v>15</v>
      </c>
      <c r="F216" s="34" t="s">
        <v>25</v>
      </c>
      <c r="G216" s="2"/>
      <c r="H216" s="1" t="s">
        <v>0</v>
      </c>
      <c r="I216" s="31"/>
      <c r="J216" s="16"/>
      <c r="K216" s="18" t="s">
        <v>15</v>
      </c>
      <c r="L216" s="17"/>
    </row>
    <row r="217" ht="15.75" customHeight="1">
      <c r="A217" s="30">
        <v>216.0</v>
      </c>
      <c r="B217" s="1">
        <v>6.0</v>
      </c>
      <c r="C217" s="4" t="s">
        <v>27</v>
      </c>
      <c r="D217" s="5" t="str">
        <f>IFERROR(__xludf.DUMMYFUNCTION("LET(
  words, TRANSPOSE(SPLIT($C217,""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)"),"cashier 15 nga po pla")</f>
        <v>cashier 15 nga po pla</v>
      </c>
      <c r="E217" s="3" t="str">
        <f>IFERROR(__xludf.DUMMYFUNCTION("INDEX(SPLIT($C217,"" ""), ROW()-ROW($E$188)+1)
"),"nga")</f>
        <v>nga</v>
      </c>
      <c r="F217" s="34" t="s">
        <v>16</v>
      </c>
      <c r="G217" s="2"/>
      <c r="H217" s="1" t="s">
        <v>0</v>
      </c>
      <c r="I217" s="2"/>
      <c r="J217" s="2"/>
      <c r="K217" s="1" t="s">
        <v>15</v>
      </c>
    </row>
    <row r="218" ht="15.75" customHeight="1">
      <c r="A218" s="30">
        <v>217.0</v>
      </c>
      <c r="B218" s="1">
        <v>6.0</v>
      </c>
      <c r="C218" s="4" t="s">
        <v>27</v>
      </c>
      <c r="D218" s="5" t="str">
        <f>IFERROR(__xludf.DUMMYFUNCTION("LET(
  words, TRANSPOSE(SPLIT($C218,""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)"),"15 nga po pla kmi")</f>
        <v>15 nga po pla kmi</v>
      </c>
      <c r="E218" s="3" t="str">
        <f>IFERROR(__xludf.DUMMYFUNCTION("INDEX(SPLIT($C218,"" ""), ROW()-ROW($E$188)+1)
"),"po")</f>
        <v>po</v>
      </c>
      <c r="F218" s="34" t="s">
        <v>16</v>
      </c>
      <c r="G218" s="2"/>
      <c r="H218" s="1" t="s">
        <v>0</v>
      </c>
      <c r="I218" s="2"/>
      <c r="J218" s="2"/>
      <c r="K218" s="1" t="s">
        <v>15</v>
      </c>
    </row>
    <row r="219" ht="15.75" customHeight="1">
      <c r="A219" s="30">
        <v>218.0</v>
      </c>
      <c r="B219" s="1">
        <v>6.0</v>
      </c>
      <c r="C219" s="4" t="s">
        <v>27</v>
      </c>
      <c r="D219" s="5" t="str">
        <f>IFERROR(__xludf.DUMMYFUNCTION("LET(
  words, TRANSPOSE(SPLIT($C219,""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)"),"nga po pla kmi")</f>
        <v>nga po pla kmi</v>
      </c>
      <c r="E219" s="3" t="str">
        <f>IFERROR(__xludf.DUMMYFUNCTION("INDEX(SPLIT($C219,"" ""), ROW()-ROW($E$188)+1)
"),"pla")</f>
        <v>pla</v>
      </c>
      <c r="F219" s="34" t="s">
        <v>16</v>
      </c>
      <c r="G219" s="2"/>
      <c r="H219" s="1" t="s">
        <v>0</v>
      </c>
      <c r="I219" s="2"/>
      <c r="J219" s="2"/>
      <c r="K219" s="1" t="s">
        <v>15</v>
      </c>
    </row>
    <row r="220" ht="15.75" customHeight="1">
      <c r="A220" s="32">
        <v>219.0</v>
      </c>
      <c r="B220" s="10">
        <v>6.0</v>
      </c>
      <c r="C220" s="7" t="s">
        <v>27</v>
      </c>
      <c r="D220" s="8" t="str">
        <f>IFERROR(__xludf.DUMMYFUNCTION("LET(
  words, TRANSPOSE(SPLIT($C220,"" "")),
  n, ROWS(words),
  i, ROW() - ROW($D$188)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 pla kmi")</f>
        <v>po pla kmi</v>
      </c>
      <c r="E220" s="9" t="str">
        <f>IFERROR(__xludf.DUMMYFUNCTION("INDEX(SPLIT($C220,"" ""), ROW()-ROW($E$188)+1)
"),"kmi")</f>
        <v>kmi</v>
      </c>
      <c r="F220" s="36" t="s">
        <v>16</v>
      </c>
      <c r="G220" s="6"/>
      <c r="H220" s="10" t="s">
        <v>0</v>
      </c>
      <c r="I220" s="6"/>
      <c r="J220" s="6"/>
      <c r="K220" s="10" t="s">
        <v>15</v>
      </c>
      <c r="L220" s="6"/>
    </row>
    <row r="221" ht="15.75" customHeight="1">
      <c r="A221" s="12">
        <v>220.0</v>
      </c>
      <c r="B221" s="12">
        <v>7.0</v>
      </c>
      <c r="C221" s="13" t="s">
        <v>29</v>
      </c>
      <c r="D221" s="14" t="str">
        <f>IFERROR(__xludf.DUMMYFUNCTION("LET(
  words, TRANSPOSE(SPLIT($C221,"" "")),
  n, ROWS(words),
  i, ROW() - ROW($D$221)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)"),"kamusta mga kaibigan")</f>
        <v>kamusta mga kaibigan</v>
      </c>
      <c r="E221" s="15" t="str">
        <f>IFERROR(__xludf.DUMMYFUNCTION("INDEX(SPLIT($C221,"" ""), ROW()-ROW($E$221)+1)
"),"kamusta")</f>
        <v>kamusta</v>
      </c>
      <c r="F221" s="34" t="s">
        <v>16</v>
      </c>
      <c r="G221" s="11"/>
      <c r="H221" s="1" t="s">
        <v>0</v>
      </c>
      <c r="I221" s="2"/>
      <c r="J221" s="2"/>
      <c r="K221" s="1" t="s">
        <v>15</v>
      </c>
    </row>
    <row r="222" ht="15.75" customHeight="1">
      <c r="A222" s="12">
        <v>221.0</v>
      </c>
      <c r="B222" s="12">
        <v>7.0</v>
      </c>
      <c r="C222" s="13" t="s">
        <v>29</v>
      </c>
      <c r="D222" s="14" t="str">
        <f>IFERROR(__xludf.DUMMYFUNCTION("LET(
  words, TRANSPOSE(SPLIT($C222,"" "")),
  n, ROWS(words),
  i, ROW() - ROW($D$221)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)"),"kamusta mga kaibigan lmk")</f>
        <v>kamusta mga kaibigan lmk</v>
      </c>
      <c r="E222" s="15" t="str">
        <f>IFERROR(__xludf.DUMMYFUNCTION("INDEX(SPLIT($C222,"" ""), ROW()-ROW($E$221)+1)
"),"mga")</f>
        <v>mga</v>
      </c>
      <c r="F222" s="34" t="s">
        <v>16</v>
      </c>
      <c r="G222" s="11"/>
      <c r="H222" s="1" t="s">
        <v>0</v>
      </c>
      <c r="I222" s="2"/>
      <c r="J222" s="2"/>
      <c r="K222" s="1" t="s">
        <v>15</v>
      </c>
    </row>
    <row r="223" ht="15.75" customHeight="1">
      <c r="A223" s="12">
        <v>222.0</v>
      </c>
      <c r="B223" s="12">
        <v>7.0</v>
      </c>
      <c r="C223" s="13" t="s">
        <v>29</v>
      </c>
      <c r="D223" s="14" t="str">
        <f>IFERROR(__xludf.DUMMYFUNCTION("LET(
  words, TRANSPOSE(SPLIT($C223,"" "")),
  n, ROWS(words),
  i, ROW() - ROW($D$221)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)"),"kamusta mga kaibigan lmk nalang")</f>
        <v>kamusta mga kaibigan lmk nalang</v>
      </c>
      <c r="E223" s="15" t="str">
        <f>IFERROR(__xludf.DUMMYFUNCTION("INDEX(SPLIT($C223,"" ""), ROW()-ROW($E$221)+1)
"),"kaibigan")</f>
        <v>kaibigan</v>
      </c>
      <c r="F223" s="34" t="s">
        <v>16</v>
      </c>
      <c r="G223" s="11"/>
      <c r="H223" s="1" t="s">
        <v>0</v>
      </c>
      <c r="I223" s="2"/>
      <c r="J223" s="2"/>
      <c r="K223" s="1" t="s">
        <v>15</v>
      </c>
    </row>
    <row r="224" ht="15.75" customHeight="1">
      <c r="A224" s="12">
        <v>223.0</v>
      </c>
      <c r="B224" s="12">
        <v>7.0</v>
      </c>
      <c r="C224" s="13" t="s">
        <v>29</v>
      </c>
      <c r="D224" s="14" t="str">
        <f>IFERROR(__xludf.DUMMYFUNCTION("LET(
  words, TRANSPOSE(SPLIT($C224,"" "")),
  n, ROWS(words),
  i, ROW() - ROW($D$221)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)"),"mga kaibigan lmk nalang if")</f>
        <v>mga kaibigan lmk nalang if</v>
      </c>
      <c r="E224" s="15" t="str">
        <f>IFERROR(__xludf.DUMMYFUNCTION("INDEX(SPLIT($C224,"" ""), ROW()-ROW($E$221)+1)
"),"lmk")</f>
        <v>lmk</v>
      </c>
      <c r="F224" s="34" t="s">
        <v>18</v>
      </c>
      <c r="G224" s="12" t="s">
        <v>19</v>
      </c>
      <c r="H224" s="1" t="s">
        <v>0</v>
      </c>
      <c r="I224" s="2"/>
      <c r="J224" s="2"/>
      <c r="K224" s="1" t="s">
        <v>15</v>
      </c>
    </row>
    <row r="225" ht="15.75" customHeight="1">
      <c r="A225" s="12">
        <v>224.0</v>
      </c>
      <c r="B225" s="12">
        <v>7.0</v>
      </c>
      <c r="C225" s="13" t="s">
        <v>29</v>
      </c>
      <c r="D225" s="14" t="str">
        <f>IFERROR(__xludf.DUMMYFUNCTION("LET(
  words, TRANSPOSE(SPLIT($C225,"" "")),
  n, ROWS(words),
  i, ROW() - ROW($D$221)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)"),"kaibigan lmk nalang if youre")</f>
        <v>kaibigan lmk nalang if youre</v>
      </c>
      <c r="E225" s="15" t="str">
        <f>IFERROR(__xludf.DUMMYFUNCTION("INDEX(SPLIT($C225,"" ""), ROW()-ROW($E$221)+1)
"),"nalang")</f>
        <v>nalang</v>
      </c>
      <c r="F225" s="34" t="s">
        <v>16</v>
      </c>
      <c r="G225" s="11"/>
      <c r="H225" s="1" t="s">
        <v>0</v>
      </c>
      <c r="I225" s="2"/>
      <c r="J225" s="2"/>
      <c r="K225" s="1" t="s">
        <v>15</v>
      </c>
    </row>
    <row r="226" ht="15.75" customHeight="1">
      <c r="A226" s="12">
        <v>225.0</v>
      </c>
      <c r="B226" s="12">
        <v>7.0</v>
      </c>
      <c r="C226" s="13" t="s">
        <v>29</v>
      </c>
      <c r="D226" s="14" t="str">
        <f>IFERROR(__xludf.DUMMYFUNCTION("LET(
  words, TRANSPOSE(SPLIT($C226,"" "")),
  n, ROWS(words),
  i, ROW() - ROW($D$221)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)"),"lmk nalang if youre done")</f>
        <v>lmk nalang if youre done</v>
      </c>
      <c r="E226" s="15" t="str">
        <f>IFERROR(__xludf.DUMMYFUNCTION("INDEX(SPLIT($C226,"" ""), ROW()-ROW($E$221)+1)
"),"if")</f>
        <v>if</v>
      </c>
      <c r="F226" s="34" t="s">
        <v>18</v>
      </c>
      <c r="G226" s="11"/>
      <c r="H226" s="1" t="s">
        <v>0</v>
      </c>
      <c r="I226" s="2"/>
      <c r="J226" s="2"/>
      <c r="K226" s="1" t="s">
        <v>15</v>
      </c>
    </row>
    <row r="227" ht="15.75" customHeight="1">
      <c r="A227" s="12">
        <v>226.0</v>
      </c>
      <c r="B227" s="12">
        <v>7.0</v>
      </c>
      <c r="C227" s="13" t="s">
        <v>29</v>
      </c>
      <c r="D227" s="14" t="str">
        <f>IFERROR(__xludf.DUMMYFUNCTION("LET(
  words, TRANSPOSE(SPLIT($C227,"" "")),
  n, ROWS(words),
  i, ROW() - ROW($D$221)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)"),"nalang if youre done dto")</f>
        <v>nalang if youre done dto</v>
      </c>
      <c r="E227" s="15" t="str">
        <f>IFERROR(__xludf.DUMMYFUNCTION("INDEX(SPLIT($C227,"" ""), ROW()-ROW($E$221)+1)
"),"youre")</f>
        <v>youre</v>
      </c>
      <c r="F227" s="34" t="s">
        <v>18</v>
      </c>
      <c r="G227" s="12" t="s">
        <v>19</v>
      </c>
      <c r="H227" s="1" t="s">
        <v>0</v>
      </c>
      <c r="I227" s="2"/>
      <c r="J227" s="2"/>
      <c r="K227" s="1" t="s">
        <v>15</v>
      </c>
    </row>
    <row r="228" ht="15.75" customHeight="1">
      <c r="A228" s="12">
        <v>227.0</v>
      </c>
      <c r="B228" s="12">
        <v>7.0</v>
      </c>
      <c r="C228" s="13" t="s">
        <v>29</v>
      </c>
      <c r="D228" s="14" t="str">
        <f>IFERROR(__xludf.DUMMYFUNCTION("LET(
  words, TRANSPOSE(SPLIT($C228,"" "")),
  n, ROWS(words),
  i, ROW() - ROW($D$221)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)"),"if youre done dto sa")</f>
        <v>if youre done dto sa</v>
      </c>
      <c r="E228" s="15" t="str">
        <f>IFERROR(__xludf.DUMMYFUNCTION("INDEX(SPLIT($C228,"" ""), ROW()-ROW($E$221)+1)
"),"done")</f>
        <v>done</v>
      </c>
      <c r="F228" s="34" t="s">
        <v>18</v>
      </c>
      <c r="G228" s="11"/>
      <c r="H228" s="1" t="s">
        <v>0</v>
      </c>
      <c r="I228" s="2"/>
      <c r="J228" s="2"/>
      <c r="K228" s="1" t="s">
        <v>15</v>
      </c>
    </row>
    <row r="229" ht="15.75" customHeight="1">
      <c r="A229" s="12">
        <v>228.0</v>
      </c>
      <c r="B229" s="12">
        <v>7.0</v>
      </c>
      <c r="C229" s="13" t="s">
        <v>29</v>
      </c>
      <c r="D229" s="14" t="str">
        <f>IFERROR(__xludf.DUMMYFUNCTION("LET(
  words, TRANSPOSE(SPLIT($C229,"" "")),
  n, ROWS(words),
  i, ROW() - ROW($D$221)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)"),"youre done dto sa document")</f>
        <v>youre done dto sa document</v>
      </c>
      <c r="E229" s="15" t="str">
        <f>IFERROR(__xludf.DUMMYFUNCTION("INDEX(SPLIT($C229,"" ""), ROW()-ROW($E$221)+1)
"),"dto")</f>
        <v>dto</v>
      </c>
      <c r="F229" s="34" t="s">
        <v>16</v>
      </c>
      <c r="G229" s="11"/>
      <c r="H229" s="1" t="s">
        <v>0</v>
      </c>
      <c r="I229" s="2"/>
      <c r="J229" s="2"/>
      <c r="K229" s="1" t="s">
        <v>15</v>
      </c>
    </row>
    <row r="230" ht="15.75" customHeight="1">
      <c r="A230" s="12">
        <v>229.0</v>
      </c>
      <c r="B230" s="12">
        <v>7.0</v>
      </c>
      <c r="C230" s="13" t="s">
        <v>29</v>
      </c>
      <c r="D230" s="14" t="str">
        <f>IFERROR(__xludf.DUMMYFUNCTION("LET(
  words, TRANSPOSE(SPLIT($C230,"" "")),
  n, ROWS(words),
  i, ROW() - ROW($D$221)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)"),"done dto sa document so")</f>
        <v>done dto sa document so</v>
      </c>
      <c r="E230" s="15" t="str">
        <f>IFERROR(__xludf.DUMMYFUNCTION("INDEX(SPLIT($C230,"" ""), ROW()-ROW($E$221)+1)
"),"sa")</f>
        <v>sa</v>
      </c>
      <c r="F230" s="34" t="s">
        <v>16</v>
      </c>
      <c r="G230" s="11"/>
      <c r="H230" s="1" t="s">
        <v>0</v>
      </c>
      <c r="I230" s="2"/>
      <c r="J230" s="2"/>
      <c r="K230" s="1" t="s">
        <v>15</v>
      </c>
    </row>
    <row r="231" ht="15.75" customHeight="1">
      <c r="A231" s="12">
        <v>230.0</v>
      </c>
      <c r="B231" s="12">
        <v>7.0</v>
      </c>
      <c r="C231" s="13" t="s">
        <v>29</v>
      </c>
      <c r="D231" s="14" t="str">
        <f>IFERROR(__xludf.DUMMYFUNCTION("LET(
  words, TRANSPOSE(SPLIT($C231,"" "")),
  n, ROWS(words),
  i, ROW() - ROW($D$221)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)"),"dto sa document so ill")</f>
        <v>dto sa document so ill</v>
      </c>
      <c r="E231" s="15" t="str">
        <f>IFERROR(__xludf.DUMMYFUNCTION("INDEX(SPLIT($C231,"" ""), ROW()-ROW($E$221)+1)
"),"document")</f>
        <v>document</v>
      </c>
      <c r="F231" s="34" t="s">
        <v>18</v>
      </c>
      <c r="G231" s="11"/>
      <c r="H231" s="1" t="s">
        <v>0</v>
      </c>
      <c r="I231" s="2"/>
      <c r="J231" s="2"/>
      <c r="K231" s="1" t="s">
        <v>15</v>
      </c>
    </row>
    <row r="232" ht="15.75" customHeight="1">
      <c r="A232" s="12">
        <v>231.0</v>
      </c>
      <c r="B232" s="12">
        <v>7.0</v>
      </c>
      <c r="C232" s="13" t="s">
        <v>29</v>
      </c>
      <c r="D232" s="14" t="str">
        <f>IFERROR(__xludf.DUMMYFUNCTION("LET(
  words, TRANSPOSE(SPLIT($C232,"" "")),
  n, ROWS(words),
  i, ROW() - ROW($D$221)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document so ill be")</f>
        <v>sa document so ill be</v>
      </c>
      <c r="E232" s="15" t="str">
        <f>IFERROR(__xludf.DUMMYFUNCTION("INDEX(SPLIT($C232,"" ""), ROW()-ROW($E$221)+1)
"),"so")</f>
        <v>so</v>
      </c>
      <c r="F232" s="34" t="s">
        <v>18</v>
      </c>
      <c r="G232" s="11"/>
      <c r="H232" s="1" t="s">
        <v>0</v>
      </c>
      <c r="I232" s="2"/>
      <c r="J232" s="2"/>
      <c r="K232" s="1" t="s">
        <v>15</v>
      </c>
    </row>
    <row r="233" ht="15.75" customHeight="1">
      <c r="A233" s="12">
        <v>232.0</v>
      </c>
      <c r="B233" s="12">
        <v>7.0</v>
      </c>
      <c r="C233" s="13" t="s">
        <v>29</v>
      </c>
      <c r="D233" s="14" t="str">
        <f>IFERROR(__xludf.DUMMYFUNCTION("LET(
  words, TRANSPOSE(SPLIT($C233,"" "")),
  n, ROWS(words),
  i, ROW() - ROW($D$221)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)"),"document so ill be able")</f>
        <v>document so ill be able</v>
      </c>
      <c r="E233" s="15" t="str">
        <f>IFERROR(__xludf.DUMMYFUNCTION("INDEX(SPLIT($C233,"" ""), ROW()-ROW($E$221)+1)
"),"ill")</f>
        <v>ill</v>
      </c>
      <c r="F233" s="34" t="s">
        <v>18</v>
      </c>
      <c r="G233" s="11"/>
      <c r="H233" s="1" t="s">
        <v>0</v>
      </c>
      <c r="I233" s="2"/>
      <c r="J233" s="2"/>
      <c r="K233" s="1" t="s">
        <v>15</v>
      </c>
    </row>
    <row r="234" ht="15.75" customHeight="1">
      <c r="A234" s="12">
        <v>233.0</v>
      </c>
      <c r="B234" s="12">
        <v>7.0</v>
      </c>
      <c r="C234" s="13" t="s">
        <v>29</v>
      </c>
      <c r="D234" s="14" t="str">
        <f>IFERROR(__xludf.DUMMYFUNCTION("LET(
  words, TRANSPOSE(SPLIT($C234,"" "")),
  n, ROWS(words),
  i, ROW() - ROW($D$221)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)"),"so ill be able to")</f>
        <v>so ill be able to</v>
      </c>
      <c r="E234" s="15" t="str">
        <f>IFERROR(__xludf.DUMMYFUNCTION("INDEX(SPLIT($C234,"" ""), ROW()-ROW($E$221)+1)
"),"be")</f>
        <v>be</v>
      </c>
      <c r="F234" s="34" t="s">
        <v>18</v>
      </c>
      <c r="G234" s="11"/>
      <c r="H234" s="1" t="s">
        <v>0</v>
      </c>
      <c r="I234" s="2"/>
      <c r="J234" s="2"/>
      <c r="K234" s="1" t="s">
        <v>15</v>
      </c>
    </row>
    <row r="235" ht="15.75" customHeight="1">
      <c r="A235" s="12">
        <v>234.0</v>
      </c>
      <c r="B235" s="12">
        <v>7.0</v>
      </c>
      <c r="C235" s="13" t="s">
        <v>29</v>
      </c>
      <c r="D235" s="14" t="str">
        <f>IFERROR(__xludf.DUMMYFUNCTION("LET(
  words, TRANSPOSE(SPLIT($C235,"" "")),
  n, ROWS(words),
  i, ROW() - ROW($D$221)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)"),"ill be able to pass")</f>
        <v>ill be able to pass</v>
      </c>
      <c r="E235" s="15" t="str">
        <f>IFERROR(__xludf.DUMMYFUNCTION("INDEX(SPLIT($C235,"" ""), ROW()-ROW($E$221)+1)
"),"able")</f>
        <v>able</v>
      </c>
      <c r="F235" s="34" t="s">
        <v>18</v>
      </c>
      <c r="G235" s="11"/>
      <c r="H235" s="1" t="s">
        <v>0</v>
      </c>
      <c r="I235" s="2"/>
      <c r="J235" s="2"/>
      <c r="K235" s="1" t="s">
        <v>15</v>
      </c>
    </row>
    <row r="236" ht="15.75" customHeight="1">
      <c r="A236" s="12">
        <v>235.0</v>
      </c>
      <c r="B236" s="12">
        <v>7.0</v>
      </c>
      <c r="C236" s="13" t="s">
        <v>29</v>
      </c>
      <c r="D236" s="14" t="str">
        <f>IFERROR(__xludf.DUMMYFUNCTION("LET(
  words, TRANSPOSE(SPLIT($C236,"" "")),
  n, ROWS(words),
  i, ROW() - ROW($D$221)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)"),"be able to pass it")</f>
        <v>be able to pass it</v>
      </c>
      <c r="E236" s="15" t="str">
        <f>IFERROR(__xludf.DUMMYFUNCTION("INDEX(SPLIT($C236,"" ""), ROW()-ROW($E$221)+1)
"),"to")</f>
        <v>to</v>
      </c>
      <c r="F236" s="34" t="s">
        <v>18</v>
      </c>
      <c r="G236" s="11"/>
      <c r="H236" s="1" t="s">
        <v>0</v>
      </c>
      <c r="I236" s="2"/>
      <c r="J236" s="2"/>
      <c r="K236" s="1" t="s">
        <v>15</v>
      </c>
    </row>
    <row r="237" ht="15.75" customHeight="1">
      <c r="A237" s="12">
        <v>236.0</v>
      </c>
      <c r="B237" s="12">
        <v>7.0</v>
      </c>
      <c r="C237" s="13" t="s">
        <v>29</v>
      </c>
      <c r="D237" s="14" t="str">
        <f>IFERROR(__xludf.DUMMYFUNCTION("LET(
  words, TRANSPOSE(SPLIT($C237,"" "")),
  n, ROWS(words),
  i, ROW() - ROW($D$221)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)"),"able to pass it nalangg")</f>
        <v>able to pass it nalangg</v>
      </c>
      <c r="E237" s="15" t="str">
        <f>IFERROR(__xludf.DUMMYFUNCTION("INDEX(SPLIT($C237,"" ""), ROW()-ROW($E$221)+1)
"),"pass")</f>
        <v>pass</v>
      </c>
      <c r="F237" s="34" t="s">
        <v>18</v>
      </c>
      <c r="G237" s="11"/>
      <c r="H237" s="1" t="s">
        <v>0</v>
      </c>
      <c r="I237" s="2"/>
      <c r="J237" s="2"/>
      <c r="K237" s="1" t="s">
        <v>15</v>
      </c>
    </row>
    <row r="238" ht="15.75" customHeight="1">
      <c r="A238" s="12">
        <v>237.0</v>
      </c>
      <c r="B238" s="12">
        <v>7.0</v>
      </c>
      <c r="C238" s="13" t="s">
        <v>29</v>
      </c>
      <c r="D238" s="14" t="str">
        <f>IFERROR(__xludf.DUMMYFUNCTION("LET(
  words, TRANSPOSE(SPLIT($C238,"" "")),
  n, ROWS(words),
  i, ROW() - ROW($D$221)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)"),"to pass it nalangg")</f>
        <v>to pass it nalangg</v>
      </c>
      <c r="E238" s="15" t="str">
        <f>IFERROR(__xludf.DUMMYFUNCTION("INDEX(SPLIT($C238,"" ""), ROW()-ROW($E$221)+1)
"),"it")</f>
        <v>it</v>
      </c>
      <c r="F238" s="34" t="s">
        <v>18</v>
      </c>
      <c r="G238" s="11"/>
      <c r="H238" s="1" t="s">
        <v>0</v>
      </c>
      <c r="I238" s="2"/>
      <c r="J238" s="2"/>
      <c r="K238" s="1" t="s">
        <v>15</v>
      </c>
    </row>
    <row r="239" ht="15.75" customHeight="1">
      <c r="A239" s="20">
        <v>238.0</v>
      </c>
      <c r="B239" s="20">
        <v>7.0</v>
      </c>
      <c r="C239" s="21" t="s">
        <v>29</v>
      </c>
      <c r="D239" s="22" t="str">
        <f>IFERROR(__xludf.DUMMYFUNCTION("LET(
  words, TRANSPOSE(SPLIT($C239,"" "")),
  n, ROWS(words),
  i, ROW() - ROW($D$221)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)"),"pass it nalangg")</f>
        <v>pass it nalangg</v>
      </c>
      <c r="E239" s="23" t="str">
        <f>IFERROR(__xludf.DUMMYFUNCTION("INDEX(SPLIT($C239,"" ""), ROW()-ROW($E$221)+1)
"),"nalangg")</f>
        <v>nalangg</v>
      </c>
      <c r="F239" s="36" t="s">
        <v>16</v>
      </c>
      <c r="G239" s="19"/>
      <c r="H239" s="10" t="s">
        <v>0</v>
      </c>
      <c r="I239" s="6"/>
      <c r="J239" s="6"/>
      <c r="K239" s="10" t="s">
        <v>15</v>
      </c>
      <c r="L239" s="6"/>
    </row>
    <row r="240" ht="15.75" customHeight="1">
      <c r="A240" s="1">
        <v>239.0</v>
      </c>
      <c r="B240" s="1">
        <v>8.0</v>
      </c>
      <c r="C240" s="4" t="s">
        <v>30</v>
      </c>
      <c r="D240" s="5" t="str">
        <f>IFERROR(__xludf.DUMMYFUNCTION("LET(
  words, TRANSPOSE(SPLIT($C240,""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viral clip")</f>
        <v>Sa viral clip</v>
      </c>
      <c r="E240" s="3" t="str">
        <f>IFERROR(__xludf.DUMMYFUNCTION("INDEX(SPLIT($C240,"" ""), ROW()-ROW($E$240)+1)
"),"Sa")</f>
        <v>Sa</v>
      </c>
      <c r="F240" s="34" t="s">
        <v>16</v>
      </c>
      <c r="G240" s="2"/>
      <c r="H240" s="1" t="s">
        <v>0</v>
      </c>
      <c r="I240" s="2"/>
      <c r="J240" s="2"/>
      <c r="K240" s="1" t="s">
        <v>15</v>
      </c>
    </row>
    <row r="241" ht="15.75" customHeight="1">
      <c r="A241" s="1">
        <v>240.0</v>
      </c>
      <c r="B241" s="1">
        <v>8.0</v>
      </c>
      <c r="C241" s="4" t="s">
        <v>30</v>
      </c>
      <c r="D241" s="5" t="str">
        <f>IFERROR(__xludf.DUMMYFUNCTION("LET(
  words, TRANSPOSE(SPLIT($C241,""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viral clip ,")</f>
        <v>Sa viral clip ,</v>
      </c>
      <c r="E241" s="3" t="str">
        <f>IFERROR(__xludf.DUMMYFUNCTION("INDEX(SPLIT($C241,"" ""), ROW()-ROW($E$240)+1)
"),"viral")</f>
        <v>viral</v>
      </c>
      <c r="F241" s="34" t="s">
        <v>18</v>
      </c>
      <c r="G241" s="2"/>
      <c r="H241" s="1" t="s">
        <v>0</v>
      </c>
      <c r="I241" s="2"/>
      <c r="J241" s="2"/>
      <c r="K241" s="1" t="s">
        <v>15</v>
      </c>
    </row>
    <row r="242" ht="15.75" customHeight="1">
      <c r="A242" s="1">
        <v>241.0</v>
      </c>
      <c r="B242" s="1">
        <v>8.0</v>
      </c>
      <c r="C242" s="4" t="s">
        <v>30</v>
      </c>
      <c r="D242" s="5" t="str">
        <f>IFERROR(__xludf.DUMMYFUNCTION("LET(
  words, TRANSPOSE(SPLIT($C242,""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viral clip , makikitang")</f>
        <v>Sa viral clip , makikitang</v>
      </c>
      <c r="E242" s="3" t="str">
        <f>IFERROR(__xludf.DUMMYFUNCTION("INDEX(SPLIT($C242,"" ""), ROW()-ROW($E$240)+1)
"),"clip")</f>
        <v>clip</v>
      </c>
      <c r="F242" s="34" t="s">
        <v>18</v>
      </c>
      <c r="G242" s="2"/>
      <c r="H242" s="1" t="s">
        <v>0</v>
      </c>
      <c r="I242" s="2"/>
      <c r="J242" s="2"/>
      <c r="K242" s="1" t="s">
        <v>15</v>
      </c>
    </row>
    <row r="243" ht="15.75" customHeight="1">
      <c r="A243" s="1">
        <v>242.0</v>
      </c>
      <c r="B243" s="1">
        <v>8.0</v>
      </c>
      <c r="C243" s="4" t="s">
        <v>30</v>
      </c>
      <c r="D243" s="5" t="str">
        <f>IFERROR(__xludf.DUMMYFUNCTION("LET(
  words, TRANSPOSE(SPLIT($C243,""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)"),"viral clip , makikitang parehong")</f>
        <v>viral clip , makikitang parehong</v>
      </c>
      <c r="E243" s="3" t="str">
        <f>IFERROR(__xludf.DUMMYFUNCTION("INDEX(SPLIT($C243,"" ""), ROW()-ROW($E$240)+1)
"),",")</f>
        <v>,</v>
      </c>
      <c r="F243" s="34" t="s">
        <v>17</v>
      </c>
      <c r="G243" s="2"/>
      <c r="H243" s="1" t="s">
        <v>0</v>
      </c>
      <c r="I243" s="2"/>
      <c r="J243" s="2"/>
      <c r="K243" s="1" t="s">
        <v>15</v>
      </c>
    </row>
    <row r="244" ht="15.75" customHeight="1">
      <c r="A244" s="1">
        <v>243.0</v>
      </c>
      <c r="B244" s="1">
        <v>8.0</v>
      </c>
      <c r="C244" s="4" t="s">
        <v>30</v>
      </c>
      <c r="D244" s="5" t="str">
        <f>IFERROR(__xludf.DUMMYFUNCTION("LET(
  words, TRANSPOSE(SPLIT($C244,""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)"),"clip , makikitang parehong walang")</f>
        <v>clip , makikitang parehong walang</v>
      </c>
      <c r="E244" s="3" t="str">
        <f>IFERROR(__xludf.DUMMYFUNCTION("INDEX(SPLIT($C244,"" ""), ROW()-ROW($E$240)+1)
"),"makikitang")</f>
        <v>makikitang</v>
      </c>
      <c r="F244" s="34" t="s">
        <v>16</v>
      </c>
      <c r="G244" s="2"/>
      <c r="H244" s="1" t="s">
        <v>0</v>
      </c>
      <c r="I244" s="2"/>
      <c r="J244" s="2"/>
      <c r="K244" s="1" t="s">
        <v>15</v>
      </c>
    </row>
    <row r="245" ht="15.75" customHeight="1">
      <c r="A245" s="1">
        <v>244.0</v>
      </c>
      <c r="B245" s="1">
        <v>8.0</v>
      </c>
      <c r="C245" s="4" t="s">
        <v>30</v>
      </c>
      <c r="D245" s="5" t="str">
        <f>IFERROR(__xludf.DUMMYFUNCTION("LET(
  words, TRANSPOSE(SPLIT($C245,""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makikitang parehong walang suot")</f>
        <v>, makikitang parehong walang suot</v>
      </c>
      <c r="E245" s="3" t="str">
        <f>IFERROR(__xludf.DUMMYFUNCTION("INDEX(SPLIT($C245,"" ""), ROW()-ROW($E$240)+1)
"),"parehong")</f>
        <v>parehong</v>
      </c>
      <c r="F245" s="34" t="s">
        <v>16</v>
      </c>
      <c r="G245" s="2"/>
      <c r="H245" s="1" t="s">
        <v>0</v>
      </c>
      <c r="I245" s="2"/>
      <c r="J245" s="2"/>
      <c r="K245" s="1" t="s">
        <v>15</v>
      </c>
    </row>
    <row r="246" ht="15.75" customHeight="1">
      <c r="A246" s="1">
        <v>245.0</v>
      </c>
      <c r="B246" s="1">
        <v>8.0</v>
      </c>
      <c r="C246" s="4" t="s">
        <v>30</v>
      </c>
      <c r="D246" s="5" t="str">
        <f>IFERROR(__xludf.DUMMYFUNCTION("LET(
  words, TRANSPOSE(SPLIT($C246,""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)"),"makikitang parehong walang suot na")</f>
        <v>makikitang parehong walang suot na</v>
      </c>
      <c r="E246" s="3" t="str">
        <f>IFERROR(__xludf.DUMMYFUNCTION("INDEX(SPLIT($C246,"" ""), ROW()-ROW($E$240)+1)
"),"walang")</f>
        <v>walang</v>
      </c>
      <c r="F246" s="34" t="s">
        <v>16</v>
      </c>
      <c r="G246" s="2"/>
      <c r="H246" s="1" t="s">
        <v>0</v>
      </c>
      <c r="I246" s="2"/>
      <c r="J246" s="2"/>
      <c r="K246" s="1" t="s">
        <v>15</v>
      </c>
    </row>
    <row r="247" ht="15.75" customHeight="1">
      <c r="A247" s="1">
        <v>246.0</v>
      </c>
      <c r="B247" s="1">
        <v>8.0</v>
      </c>
      <c r="C247" s="4" t="s">
        <v>30</v>
      </c>
      <c r="D247" s="5" t="str">
        <f>IFERROR(__xludf.DUMMYFUNCTION("LET(
  words, TRANSPOSE(SPLIT($C247,""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)"),"parehong walang suot na seatbelt")</f>
        <v>parehong walang suot na seatbelt</v>
      </c>
      <c r="E247" s="3" t="str">
        <f>IFERROR(__xludf.DUMMYFUNCTION("INDEX(SPLIT($C247,"" ""), ROW()-ROW($E$240)+1)
"),"suot")</f>
        <v>suot</v>
      </c>
      <c r="F247" s="34" t="s">
        <v>16</v>
      </c>
      <c r="G247" s="2"/>
      <c r="H247" s="1" t="s">
        <v>0</v>
      </c>
      <c r="I247" s="2"/>
      <c r="J247" s="2"/>
      <c r="K247" s="1" t="s">
        <v>15</v>
      </c>
    </row>
    <row r="248" ht="15.75" customHeight="1">
      <c r="A248" s="1">
        <v>247.0</v>
      </c>
      <c r="B248" s="1">
        <v>8.0</v>
      </c>
      <c r="C248" s="4" t="s">
        <v>30</v>
      </c>
      <c r="D248" s="5" t="str">
        <f>IFERROR(__xludf.DUMMYFUNCTION("LET(
  words, TRANSPOSE(SPLIT($C248,""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)"),"walang suot na seatbelt ang")</f>
        <v>walang suot na seatbelt ang</v>
      </c>
      <c r="E248" s="3" t="str">
        <f>IFERROR(__xludf.DUMMYFUNCTION("INDEX(SPLIT($C248,"" ""), ROW()-ROW($E$240)+1)
"),"na")</f>
        <v>na</v>
      </c>
      <c r="F248" s="34" t="s">
        <v>16</v>
      </c>
      <c r="G248" s="2"/>
      <c r="H248" s="1" t="s">
        <v>0</v>
      </c>
      <c r="I248" s="2"/>
      <c r="J248" s="2"/>
      <c r="K248" s="1" t="s">
        <v>15</v>
      </c>
    </row>
    <row r="249" ht="15.75" customHeight="1">
      <c r="A249" s="1">
        <v>248.0</v>
      </c>
      <c r="B249" s="1">
        <v>8.0</v>
      </c>
      <c r="C249" s="4" t="s">
        <v>30</v>
      </c>
      <c r="D249" s="5" t="str">
        <f>IFERROR(__xludf.DUMMYFUNCTION("LET(
  words, TRANSPOSE(SPLIT($C249,""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)"),"suot na seatbelt ang mag-ama")</f>
        <v>suot na seatbelt ang mag-ama</v>
      </c>
      <c r="E249" s="3" t="str">
        <f>IFERROR(__xludf.DUMMYFUNCTION("INDEX(SPLIT($C249,"" ""), ROW()-ROW($E$240)+1)
"),"seatbelt")</f>
        <v>seatbelt</v>
      </c>
      <c r="F249" s="34" t="s">
        <v>18</v>
      </c>
      <c r="G249" s="2"/>
      <c r="H249" s="1" t="s">
        <v>0</v>
      </c>
      <c r="I249" s="2"/>
      <c r="J249" s="2"/>
      <c r="K249" s="1" t="s">
        <v>15</v>
      </c>
    </row>
    <row r="250" ht="15.75" customHeight="1">
      <c r="A250" s="1">
        <v>249.0</v>
      </c>
      <c r="B250" s="1">
        <v>8.0</v>
      </c>
      <c r="C250" s="4" t="s">
        <v>30</v>
      </c>
      <c r="D250" s="5" t="str">
        <f>IFERROR(__xludf.DUMMYFUNCTION("LET(
  words, TRANSPOSE(SPLIT($C250,""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seatbelt ang mag-ama habang")</f>
        <v>na seatbelt ang mag-ama habang</v>
      </c>
      <c r="E250" s="3" t="str">
        <f>IFERROR(__xludf.DUMMYFUNCTION("INDEX(SPLIT($C250,"" ""), ROW()-ROW($E$240)+1)
"),"ang")</f>
        <v>ang</v>
      </c>
      <c r="F250" s="34" t="s">
        <v>16</v>
      </c>
      <c r="G250" s="2"/>
      <c r="H250" s="1" t="s">
        <v>0</v>
      </c>
      <c r="I250" s="2"/>
      <c r="J250" s="2"/>
      <c r="K250" s="1" t="s">
        <v>15</v>
      </c>
    </row>
    <row r="251" ht="15.75" customHeight="1">
      <c r="A251" s="1">
        <v>250.0</v>
      </c>
      <c r="B251" s="1">
        <v>8.0</v>
      </c>
      <c r="C251" s="4" t="s">
        <v>30</v>
      </c>
      <c r="D251" s="5" t="str">
        <f>IFERROR(__xludf.DUMMYFUNCTION("LET(
  words, TRANSPOSE(SPLIT($C251,""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)"),"seatbelt ang mag-ama habang hinahayaang")</f>
        <v>seatbelt ang mag-ama habang hinahayaang</v>
      </c>
      <c r="E251" s="3" t="str">
        <f>IFERROR(__xludf.DUMMYFUNCTION("INDEX(SPLIT($C251,"" ""), ROW()-ROW($E$240)+1)
"),"mag-ama")</f>
        <v>mag-ama</v>
      </c>
      <c r="F251" s="34" t="s">
        <v>16</v>
      </c>
      <c r="G251" s="2"/>
      <c r="H251" s="1" t="s">
        <v>0</v>
      </c>
      <c r="I251" s="2"/>
      <c r="J251" s="2"/>
      <c r="K251" s="1" t="s">
        <v>15</v>
      </c>
    </row>
    <row r="252" ht="15.75" customHeight="1">
      <c r="A252" s="1">
        <v>251.0</v>
      </c>
      <c r="B252" s="1">
        <v>8.0</v>
      </c>
      <c r="C252" s="4" t="s">
        <v>30</v>
      </c>
      <c r="D252" s="5" t="str">
        <f>IFERROR(__xludf.DUMMYFUNCTION("LET(
  words, TRANSPOSE(SPLIT($C252,""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mag-ama habang hinahayaang kontrolin")</f>
        <v>ang mag-ama habang hinahayaang kontrolin</v>
      </c>
      <c r="E252" s="3" t="str">
        <f>IFERROR(__xludf.DUMMYFUNCTION("INDEX(SPLIT($C252,"" ""), ROW()-ROW($E$240)+1)
"),"habang")</f>
        <v>habang</v>
      </c>
      <c r="F252" s="34" t="s">
        <v>16</v>
      </c>
      <c r="G252" s="2"/>
      <c r="H252" s="1" t="s">
        <v>0</v>
      </c>
      <c r="I252" s="2"/>
      <c r="J252" s="2"/>
      <c r="K252" s="1" t="s">
        <v>15</v>
      </c>
    </row>
    <row r="253" ht="15.75" customHeight="1">
      <c r="A253" s="1">
        <v>252.0</v>
      </c>
      <c r="B253" s="1">
        <v>8.0</v>
      </c>
      <c r="C253" s="4" t="s">
        <v>30</v>
      </c>
      <c r="D253" s="5" t="str">
        <f>IFERROR(__xludf.DUMMYFUNCTION("LET(
  words, TRANSPOSE(SPLIT($C253,""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)"),"mag-ama habang hinahayaang kontrolin ng")</f>
        <v>mag-ama habang hinahayaang kontrolin ng</v>
      </c>
      <c r="E253" s="3" t="str">
        <f>IFERROR(__xludf.DUMMYFUNCTION("INDEX(SPLIT($C253,"" ""), ROW()-ROW($E$240)+1)
"),"hinahayaang")</f>
        <v>hinahayaang</v>
      </c>
      <c r="F253" s="34" t="s">
        <v>16</v>
      </c>
      <c r="G253" s="2"/>
      <c r="H253" s="1" t="s">
        <v>0</v>
      </c>
      <c r="I253" s="2"/>
      <c r="J253" s="2"/>
      <c r="K253" s="1" t="s">
        <v>15</v>
      </c>
    </row>
    <row r="254" ht="15.75" customHeight="1">
      <c r="A254" s="1">
        <v>253.0</v>
      </c>
      <c r="B254" s="1">
        <v>8.0</v>
      </c>
      <c r="C254" s="4" t="s">
        <v>30</v>
      </c>
      <c r="D254" s="5" t="str">
        <f>IFERROR(__xludf.DUMMYFUNCTION("LET(
  words, TRANSPOSE(SPLIT($C254,""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)"),"habang hinahayaang kontrolin ng bata")</f>
        <v>habang hinahayaang kontrolin ng bata</v>
      </c>
      <c r="E254" s="3" t="str">
        <f>IFERROR(__xludf.DUMMYFUNCTION("INDEX(SPLIT($C254,"" ""), ROW()-ROW($E$240)+1)
"),"kontrolin")</f>
        <v>kontrolin</v>
      </c>
      <c r="F254" s="34" t="s">
        <v>16</v>
      </c>
      <c r="G254" s="2"/>
      <c r="H254" s="1" t="s">
        <v>0</v>
      </c>
      <c r="I254" s="2"/>
      <c r="J254" s="2"/>
      <c r="K254" s="1" t="s">
        <v>15</v>
      </c>
    </row>
    <row r="255" ht="15.75" customHeight="1">
      <c r="A255" s="1">
        <v>254.0</v>
      </c>
      <c r="B255" s="1">
        <v>8.0</v>
      </c>
      <c r="C255" s="4" t="s">
        <v>30</v>
      </c>
      <c r="D255" s="5" t="str">
        <f>IFERROR(__xludf.DUMMYFUNCTION("LET(
  words, TRANSPOSE(SPLIT($C255,""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)"),"hinahayaang kontrolin ng bata ang")</f>
        <v>hinahayaang kontrolin ng bata ang</v>
      </c>
      <c r="E255" s="3" t="str">
        <f>IFERROR(__xludf.DUMMYFUNCTION("INDEX(SPLIT($C255,"" ""), ROW()-ROW($E$240)+1)
"),"ng")</f>
        <v>ng</v>
      </c>
      <c r="F255" s="34" t="s">
        <v>16</v>
      </c>
      <c r="G255" s="2"/>
      <c r="H255" s="1" t="s">
        <v>0</v>
      </c>
      <c r="I255" s="2"/>
      <c r="J255" s="2"/>
      <c r="K255" s="1" t="s">
        <v>15</v>
      </c>
    </row>
    <row r="256" ht="15.75" customHeight="1">
      <c r="A256" s="1">
        <v>255.0</v>
      </c>
      <c r="B256" s="1">
        <v>8.0</v>
      </c>
      <c r="C256" s="4" t="s">
        <v>30</v>
      </c>
      <c r="D256" s="5" t="str">
        <f>IFERROR(__xludf.DUMMYFUNCTION("LET(
  words, TRANSPOSE(SPLIT($C256,""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)"),"kontrolin ng bata ang manibela")</f>
        <v>kontrolin ng bata ang manibela</v>
      </c>
      <c r="E256" s="3" t="str">
        <f>IFERROR(__xludf.DUMMYFUNCTION("INDEX(SPLIT($C256,"" ""), ROW()-ROW($E$240)+1)
"),"bata")</f>
        <v>bata</v>
      </c>
      <c r="F256" s="34" t="s">
        <v>16</v>
      </c>
      <c r="G256" s="2"/>
      <c r="H256" s="1" t="s">
        <v>0</v>
      </c>
      <c r="I256" s="2"/>
      <c r="J256" s="2"/>
      <c r="K256" s="1" t="s">
        <v>15</v>
      </c>
    </row>
    <row r="257" ht="15.75" customHeight="1">
      <c r="A257" s="1">
        <v>256.0</v>
      </c>
      <c r="B257" s="1">
        <v>8.0</v>
      </c>
      <c r="C257" s="4" t="s">
        <v>30</v>
      </c>
      <c r="D257" s="5" t="str">
        <f>IFERROR(__xludf.DUMMYFUNCTION("LET(
  words, TRANSPOSE(SPLIT($C257,""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)"),"ng bata ang manibela .")</f>
        <v>ng bata ang manibela .</v>
      </c>
      <c r="E257" s="3" t="str">
        <f>IFERROR(__xludf.DUMMYFUNCTION("INDEX(SPLIT($C257,"" ""), ROW()-ROW($E$240)+1)
"),"ang")</f>
        <v>ang</v>
      </c>
      <c r="F257" s="34" t="s">
        <v>16</v>
      </c>
      <c r="G257" s="2"/>
      <c r="H257" s="1" t="s">
        <v>0</v>
      </c>
      <c r="I257" s="2"/>
      <c r="J257" s="2"/>
      <c r="K257" s="1" t="s">
        <v>15</v>
      </c>
    </row>
    <row r="258" ht="15.75" customHeight="1">
      <c r="A258" s="1">
        <v>257.0</v>
      </c>
      <c r="B258" s="1">
        <v>8.0</v>
      </c>
      <c r="C258" s="4" t="s">
        <v>30</v>
      </c>
      <c r="D258" s="5" t="str">
        <f>IFERROR(__xludf.DUMMYFUNCTION("LET(
  words, TRANSPOSE(SPLIT($C258,""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)"),"bata ang manibela . Ayon")</f>
        <v>bata ang manibela . Ayon</v>
      </c>
      <c r="E258" s="3" t="str">
        <f>IFERROR(__xludf.DUMMYFUNCTION("INDEX(SPLIT($C258,"" ""), ROW()-ROW($E$240)+1)
"),"manibela")</f>
        <v>manibela</v>
      </c>
      <c r="F258" s="34" t="s">
        <v>16</v>
      </c>
      <c r="G258" s="2"/>
      <c r="H258" s="1" t="s">
        <v>0</v>
      </c>
      <c r="I258" s="2"/>
      <c r="J258" s="2"/>
      <c r="K258" s="1" t="s">
        <v>15</v>
      </c>
    </row>
    <row r="259" ht="15.75" customHeight="1">
      <c r="A259" s="1">
        <v>258.0</v>
      </c>
      <c r="B259" s="1">
        <v>8.0</v>
      </c>
      <c r="C259" s="4" t="s">
        <v>30</v>
      </c>
      <c r="D259" s="5" t="str">
        <f>IFERROR(__xludf.DUMMYFUNCTION("LET(
  words, TRANSPOSE(SPLIT($C259,""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manibela . Ayon sa")</f>
        <v>ang manibela . Ayon sa</v>
      </c>
      <c r="E259" s="3" t="str">
        <f>IFERROR(__xludf.DUMMYFUNCTION("INDEX(SPLIT($C259,"" ""), ROW()-ROW($E$240)+1)
"),".")</f>
        <v>.</v>
      </c>
      <c r="F259" s="34" t="s">
        <v>17</v>
      </c>
      <c r="G259" s="2"/>
      <c r="H259" s="1" t="s">
        <v>0</v>
      </c>
      <c r="I259" s="2"/>
      <c r="J259" s="2"/>
      <c r="K259" s="1" t="s">
        <v>15</v>
      </c>
    </row>
    <row r="260" ht="15.75" customHeight="1">
      <c r="A260" s="1">
        <v>259.0</v>
      </c>
      <c r="B260" s="1">
        <v>8.0</v>
      </c>
      <c r="C260" s="4" t="s">
        <v>30</v>
      </c>
      <c r="D260" s="5" t="str">
        <f>IFERROR(__xludf.DUMMYFUNCTION("LET(
  words, TRANSPOSE(SPLIT($C260,""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)"),"manibela . Ayon sa LTO")</f>
        <v>manibela . Ayon sa LTO</v>
      </c>
      <c r="E260" s="3" t="str">
        <f>IFERROR(__xludf.DUMMYFUNCTION("INDEX(SPLIT($C260,"" ""), ROW()-ROW($E$240)+1)
"),"Ayon")</f>
        <v>Ayon</v>
      </c>
      <c r="F260" s="34" t="s">
        <v>16</v>
      </c>
      <c r="G260" s="2"/>
      <c r="H260" s="1" t="s">
        <v>0</v>
      </c>
      <c r="I260" s="2"/>
      <c r="J260" s="2"/>
      <c r="K260" s="1" t="s">
        <v>15</v>
      </c>
    </row>
    <row r="261" ht="15.75" customHeight="1">
      <c r="A261" s="1">
        <v>260.0</v>
      </c>
      <c r="B261" s="1">
        <v>8.0</v>
      </c>
      <c r="C261" s="4" t="s">
        <v>30</v>
      </c>
      <c r="D261" s="5" t="str">
        <f>IFERROR(__xludf.DUMMYFUNCTION("LET(
  words, TRANSPOSE(SPLIT($C261,""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Ayon sa LTO ,")</f>
        <v>. Ayon sa LTO ,</v>
      </c>
      <c r="E261" s="3" t="str">
        <f>IFERROR(__xludf.DUMMYFUNCTION("INDEX(SPLIT($C261,"" ""), ROW()-ROW($E$240)+1)
"),"sa")</f>
        <v>sa</v>
      </c>
      <c r="F261" s="34" t="s">
        <v>16</v>
      </c>
      <c r="G261" s="2"/>
      <c r="H261" s="1" t="s">
        <v>0</v>
      </c>
      <c r="I261" s="2"/>
      <c r="J261" s="2"/>
      <c r="K261" s="1" t="s">
        <v>15</v>
      </c>
    </row>
    <row r="262" ht="15.75" customHeight="1">
      <c r="A262" s="1">
        <v>261.0</v>
      </c>
      <c r="B262" s="1">
        <v>8.0</v>
      </c>
      <c r="C262" s="4" t="s">
        <v>30</v>
      </c>
      <c r="D262" s="5" t="str">
        <f>IFERROR(__xludf.DUMMYFUNCTION("LET(
  words, TRANSPOSE(SPLIT($C262,""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)"),"Ayon sa LTO , malinaw")</f>
        <v>Ayon sa LTO , malinaw</v>
      </c>
      <c r="E262" s="3" t="str">
        <f>IFERROR(__xludf.DUMMYFUNCTION("INDEX(SPLIT($C262,"" ""), ROW()-ROW($E$240)+1)
"),"LTO")</f>
        <v>LTO</v>
      </c>
      <c r="F262" s="34" t="s">
        <v>18</v>
      </c>
      <c r="G262" s="1" t="s">
        <v>31</v>
      </c>
      <c r="H262" s="1" t="s">
        <v>0</v>
      </c>
      <c r="I262" s="2"/>
      <c r="J262" s="2"/>
      <c r="K262" s="1" t="s">
        <v>15</v>
      </c>
    </row>
    <row r="263" ht="15.75" customHeight="1">
      <c r="A263" s="1">
        <v>262.0</v>
      </c>
      <c r="B263" s="1">
        <v>8.0</v>
      </c>
      <c r="C263" s="4" t="s">
        <v>30</v>
      </c>
      <c r="D263" s="5" t="str">
        <f>IFERROR(__xludf.DUMMYFUNCTION("LET(
  words, TRANSPOSE(SPLIT($C263,""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LTO , malinaw itong")</f>
        <v>sa LTO , malinaw itong</v>
      </c>
      <c r="E263" s="3" t="str">
        <f>IFERROR(__xludf.DUMMYFUNCTION("INDEX(SPLIT($C263,"" ""), ROW()-ROW($E$240)+1)
"),",")</f>
        <v>,</v>
      </c>
      <c r="F263" s="34" t="s">
        <v>17</v>
      </c>
      <c r="G263" s="2"/>
      <c r="H263" s="1" t="s">
        <v>0</v>
      </c>
      <c r="I263" s="2"/>
      <c r="J263" s="2"/>
      <c r="K263" s="1" t="s">
        <v>15</v>
      </c>
    </row>
    <row r="264" ht="15.75" customHeight="1">
      <c r="A264" s="1">
        <v>263.0</v>
      </c>
      <c r="B264" s="1">
        <v>8.0</v>
      </c>
      <c r="C264" s="4" t="s">
        <v>30</v>
      </c>
      <c r="D264" s="5" t="str">
        <f>IFERROR(__xludf.DUMMYFUNCTION("LET(
  words, TRANSPOSE(SPLIT($C264,""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)"),"LTO , malinaw itong paglabag")</f>
        <v>LTO , malinaw itong paglabag</v>
      </c>
      <c r="E264" s="3" t="str">
        <f>IFERROR(__xludf.DUMMYFUNCTION("INDEX(SPLIT($C264,"" ""), ROW()-ROW($E$240)+1)
"),"malinaw")</f>
        <v>malinaw</v>
      </c>
      <c r="F264" s="34" t="s">
        <v>16</v>
      </c>
      <c r="G264" s="2"/>
      <c r="H264" s="1" t="s">
        <v>0</v>
      </c>
      <c r="I264" s="2"/>
      <c r="J264" s="2"/>
      <c r="K264" s="1" t="s">
        <v>15</v>
      </c>
    </row>
    <row r="265" ht="15.75" customHeight="1">
      <c r="A265" s="1">
        <v>264.0</v>
      </c>
      <c r="B265" s="1">
        <v>8.0</v>
      </c>
      <c r="C265" s="4" t="s">
        <v>30</v>
      </c>
      <c r="D265" s="5" t="str">
        <f>IFERROR(__xludf.DUMMYFUNCTION("LET(
  words, TRANSPOSE(SPLIT($C265,""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malinaw itong paglabag sa")</f>
        <v>, malinaw itong paglabag sa</v>
      </c>
      <c r="E265" s="3" t="str">
        <f>IFERROR(__xludf.DUMMYFUNCTION("INDEX(SPLIT($C265,"" ""), ROW()-ROW($E$240)+1)
"),"itong")</f>
        <v>itong</v>
      </c>
      <c r="F265" s="34" t="s">
        <v>16</v>
      </c>
      <c r="G265" s="2"/>
      <c r="H265" s="1" t="s">
        <v>0</v>
      </c>
      <c r="I265" s="2"/>
      <c r="J265" s="2"/>
      <c r="K265" s="1" t="s">
        <v>15</v>
      </c>
    </row>
    <row r="266" ht="15.75" customHeight="1">
      <c r="A266" s="1">
        <v>265.0</v>
      </c>
      <c r="B266" s="1">
        <v>8.0</v>
      </c>
      <c r="C266" s="4" t="s">
        <v>30</v>
      </c>
      <c r="D266" s="5" t="str">
        <f>IFERROR(__xludf.DUMMYFUNCTION("LET(
  words, TRANSPOSE(SPLIT($C266,""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)"),"malinaw itong paglabag sa mga")</f>
        <v>malinaw itong paglabag sa mga</v>
      </c>
      <c r="E266" s="3" t="str">
        <f>IFERROR(__xludf.DUMMYFUNCTION("INDEX(SPLIT($C266,"" ""), ROW()-ROW($E$240)+1)
"),"paglabag")</f>
        <v>paglabag</v>
      </c>
      <c r="F266" s="34" t="s">
        <v>16</v>
      </c>
      <c r="G266" s="2"/>
      <c r="H266" s="1" t="s">
        <v>0</v>
      </c>
      <c r="I266" s="2"/>
      <c r="J266" s="2"/>
      <c r="K266" s="1" t="s">
        <v>15</v>
      </c>
    </row>
    <row r="267" ht="15.75" customHeight="1">
      <c r="A267" s="1">
        <v>266.0</v>
      </c>
      <c r="B267" s="1">
        <v>8.0</v>
      </c>
      <c r="C267" s="4" t="s">
        <v>30</v>
      </c>
      <c r="D267" s="5" t="str">
        <f>IFERROR(__xludf.DUMMYFUNCTION("LET(
  words, TRANSPOSE(SPLIT($C267,""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)"),"itong paglabag sa mga batas")</f>
        <v>itong paglabag sa mga batas</v>
      </c>
      <c r="E267" s="3" t="str">
        <f>IFERROR(__xludf.DUMMYFUNCTION("INDEX(SPLIT($C267,"" ""), ROW()-ROW($E$240)+1)
"),"sa")</f>
        <v>sa</v>
      </c>
      <c r="F267" s="34" t="s">
        <v>16</v>
      </c>
      <c r="G267" s="2"/>
      <c r="H267" s="1" t="s">
        <v>0</v>
      </c>
      <c r="I267" s="2"/>
      <c r="J267" s="2"/>
      <c r="K267" s="1" t="s">
        <v>15</v>
      </c>
    </row>
    <row r="268" ht="15.75" customHeight="1">
      <c r="A268" s="1">
        <v>267.0</v>
      </c>
      <c r="B268" s="1">
        <v>8.0</v>
      </c>
      <c r="C268" s="4" t="s">
        <v>30</v>
      </c>
      <c r="D268" s="5" t="str">
        <f>IFERROR(__xludf.DUMMYFUNCTION("LET(
  words, TRANSPOSE(SPLIT($C268,""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)"),"paglabag sa mga batas trapiko")</f>
        <v>paglabag sa mga batas trapiko</v>
      </c>
      <c r="E268" s="3" t="str">
        <f>IFERROR(__xludf.DUMMYFUNCTION("INDEX(SPLIT($C268,"" ""), ROW()-ROW($E$240)+1)
"),"mga")</f>
        <v>mga</v>
      </c>
      <c r="F268" s="34" t="s">
        <v>16</v>
      </c>
      <c r="G268" s="2"/>
      <c r="H268" s="1" t="s">
        <v>0</v>
      </c>
      <c r="I268" s="2"/>
      <c r="J268" s="2"/>
      <c r="K268" s="1" t="s">
        <v>15</v>
      </c>
    </row>
    <row r="269" ht="15.75" customHeight="1">
      <c r="A269" s="1">
        <v>268.0</v>
      </c>
      <c r="B269" s="1">
        <v>8.0</v>
      </c>
      <c r="C269" s="4" t="s">
        <v>30</v>
      </c>
      <c r="D269" s="5" t="str">
        <f>IFERROR(__xludf.DUMMYFUNCTION("LET(
  words, TRANSPOSE(SPLIT($C269,""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mga batas trapiko kabilang")</f>
        <v>sa mga batas trapiko kabilang</v>
      </c>
      <c r="E269" s="3" t="str">
        <f>IFERROR(__xludf.DUMMYFUNCTION("INDEX(SPLIT($C269,"" ""), ROW()-ROW($E$240)+1)
"),"batas")</f>
        <v>batas</v>
      </c>
      <c r="F269" s="34" t="s">
        <v>16</v>
      </c>
      <c r="G269" s="2"/>
      <c r="H269" s="1" t="s">
        <v>0</v>
      </c>
      <c r="I269" s="2"/>
      <c r="J269" s="2"/>
      <c r="K269" s="1" t="s">
        <v>15</v>
      </c>
    </row>
    <row r="270" ht="15.75" customHeight="1">
      <c r="A270" s="1">
        <v>269.0</v>
      </c>
      <c r="B270" s="1">
        <v>8.0</v>
      </c>
      <c r="C270" s="4" t="s">
        <v>30</v>
      </c>
      <c r="D270" s="5" t="str">
        <f>IFERROR(__xludf.DUMMYFUNCTION("LET(
  words, TRANSPOSE(SPLIT($C270,""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)"),"mga batas trapiko kabilang ang")</f>
        <v>mga batas trapiko kabilang ang</v>
      </c>
      <c r="E270" s="3" t="str">
        <f>IFERROR(__xludf.DUMMYFUNCTION("INDEX(SPLIT($C270,"" ""), ROW()-ROW($E$240)+1)
"),"trapiko")</f>
        <v>trapiko</v>
      </c>
      <c r="F270" s="34" t="s">
        <v>16</v>
      </c>
      <c r="G270" s="2"/>
      <c r="H270" s="1" t="s">
        <v>0</v>
      </c>
      <c r="I270" s="2"/>
      <c r="J270" s="2"/>
      <c r="K270" s="1" t="s">
        <v>15</v>
      </c>
    </row>
    <row r="271" ht="15.75" customHeight="1">
      <c r="A271" s="1">
        <v>270.0</v>
      </c>
      <c r="B271" s="1">
        <v>8.0</v>
      </c>
      <c r="C271" s="4" t="s">
        <v>30</v>
      </c>
      <c r="D271" s="5" t="str">
        <f>IFERROR(__xludf.DUMMYFUNCTION("LET(
  words, TRANSPOSE(SPLIT($C271,""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)"),"batas trapiko kabilang ang reckless")</f>
        <v>batas trapiko kabilang ang reckless</v>
      </c>
      <c r="E271" s="3" t="str">
        <f>IFERROR(__xludf.DUMMYFUNCTION("INDEX(SPLIT($C271,"" ""), ROW()-ROW($E$240)+1)
"),"kabilang")</f>
        <v>kabilang</v>
      </c>
      <c r="F271" s="34" t="s">
        <v>16</v>
      </c>
      <c r="G271" s="2"/>
      <c r="H271" s="1" t="s">
        <v>0</v>
      </c>
      <c r="I271" s="2"/>
      <c r="J271" s="2"/>
      <c r="K271" s="1" t="s">
        <v>15</v>
      </c>
    </row>
    <row r="272" ht="15.75" customHeight="1">
      <c r="A272" s="1">
        <v>271.0</v>
      </c>
      <c r="B272" s="1">
        <v>8.0</v>
      </c>
      <c r="C272" s="4" t="s">
        <v>30</v>
      </c>
      <c r="D272" s="5" t="str">
        <f>IFERROR(__xludf.DUMMYFUNCTION("LET(
  words, TRANSPOSE(SPLIT($C272,""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)"),"trapiko kabilang ang reckless driving")</f>
        <v>trapiko kabilang ang reckless driving</v>
      </c>
      <c r="E272" s="3" t="str">
        <f>IFERROR(__xludf.DUMMYFUNCTION("INDEX(SPLIT($C272,"" ""), ROW()-ROW($E$240)+1)
"),"ang")</f>
        <v>ang</v>
      </c>
      <c r="F272" s="34" t="s">
        <v>16</v>
      </c>
      <c r="G272" s="2"/>
      <c r="H272" s="1" t="s">
        <v>0</v>
      </c>
      <c r="I272" s="2"/>
      <c r="J272" s="2"/>
      <c r="K272" s="1" t="s">
        <v>15</v>
      </c>
    </row>
    <row r="273" ht="15.75" customHeight="1">
      <c r="A273" s="1">
        <v>272.0</v>
      </c>
      <c r="B273" s="1">
        <v>8.0</v>
      </c>
      <c r="C273" s="4" t="s">
        <v>30</v>
      </c>
      <c r="D273" s="5" t="str">
        <f>IFERROR(__xludf.DUMMYFUNCTION("LET(
  words, TRANSPOSE(SPLIT($C273,""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)"),"kabilang ang reckless driving ,")</f>
        <v>kabilang ang reckless driving ,</v>
      </c>
      <c r="E273" s="3" t="str">
        <f>IFERROR(__xludf.DUMMYFUNCTION("INDEX(SPLIT($C273,"" ""), ROW()-ROW($E$240)+1)
"),"reckless")</f>
        <v>reckless</v>
      </c>
      <c r="F273" s="34" t="s">
        <v>18</v>
      </c>
      <c r="G273" s="2"/>
      <c r="H273" s="1" t="s">
        <v>0</v>
      </c>
      <c r="I273" s="2"/>
      <c r="J273" s="2"/>
      <c r="K273" s="1" t="s">
        <v>15</v>
      </c>
    </row>
    <row r="274" ht="15.75" customHeight="1">
      <c r="A274" s="1">
        <v>273.0</v>
      </c>
      <c r="B274" s="1">
        <v>8.0</v>
      </c>
      <c r="C274" s="4" t="s">
        <v>30</v>
      </c>
      <c r="D274" s="5" t="str">
        <f>IFERROR(__xludf.DUMMYFUNCTION("LET(
  words, TRANSPOSE(SPLIT($C274,""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reckless driving , failure")</f>
        <v>ang reckless driving , failure</v>
      </c>
      <c r="E274" s="3" t="str">
        <f>IFERROR(__xludf.DUMMYFUNCTION("INDEX(SPLIT($C274,"" ""), ROW()-ROW($E$240)+1)
"),"driving")</f>
        <v>driving</v>
      </c>
      <c r="F274" s="34" t="s">
        <v>18</v>
      </c>
      <c r="G274" s="2"/>
      <c r="H274" s="1" t="s">
        <v>0</v>
      </c>
      <c r="I274" s="2"/>
      <c r="J274" s="2"/>
      <c r="K274" s="1" t="s">
        <v>15</v>
      </c>
    </row>
    <row r="275" ht="15.75" customHeight="1">
      <c r="A275" s="1">
        <v>274.0</v>
      </c>
      <c r="B275" s="1">
        <v>8.0</v>
      </c>
      <c r="C275" s="4" t="s">
        <v>30</v>
      </c>
      <c r="D275" s="5" t="str">
        <f>IFERROR(__xludf.DUMMYFUNCTION("LET(
  words, TRANSPOSE(SPLIT($C275,""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)"),"reckless driving , failure to")</f>
        <v>reckless driving , failure to</v>
      </c>
      <c r="E275" s="3" t="str">
        <f>IFERROR(__xludf.DUMMYFUNCTION("INDEX(SPLIT($C275,"" ""), ROW()-ROW($E$240)+1)
"),",")</f>
        <v>,</v>
      </c>
      <c r="F275" s="34" t="s">
        <v>17</v>
      </c>
      <c r="G275" s="2"/>
      <c r="H275" s="1" t="s">
        <v>0</v>
      </c>
      <c r="I275" s="2"/>
      <c r="J275" s="2"/>
      <c r="K275" s="1" t="s">
        <v>15</v>
      </c>
    </row>
    <row r="276" ht="15.75" customHeight="1">
      <c r="A276" s="1">
        <v>275.0</v>
      </c>
      <c r="B276" s="1">
        <v>8.0</v>
      </c>
      <c r="C276" s="4" t="s">
        <v>30</v>
      </c>
      <c r="D276" s="5" t="str">
        <f>IFERROR(__xludf.DUMMYFUNCTION("LET(
  words, TRANSPOSE(SPLIT($C276,""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)"),"driving , failure to wear")</f>
        <v>driving , failure to wear</v>
      </c>
      <c r="E276" s="3" t="str">
        <f>IFERROR(__xludf.DUMMYFUNCTION("INDEX(SPLIT($C276,"" ""), ROW()-ROW($E$240)+1)
"),"failure")</f>
        <v>failure</v>
      </c>
      <c r="F276" s="34" t="s">
        <v>18</v>
      </c>
      <c r="G276" s="2"/>
      <c r="H276" s="1" t="s">
        <v>0</v>
      </c>
      <c r="I276" s="2"/>
      <c r="J276" s="2"/>
      <c r="K276" s="1" t="s">
        <v>15</v>
      </c>
    </row>
    <row r="277" ht="15.75" customHeight="1">
      <c r="A277" s="1">
        <v>276.0</v>
      </c>
      <c r="B277" s="1">
        <v>8.0</v>
      </c>
      <c r="C277" s="4" t="s">
        <v>30</v>
      </c>
      <c r="D277" s="5" t="str">
        <f>IFERROR(__xludf.DUMMYFUNCTION("LET(
  words, TRANSPOSE(SPLIT($C277,""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failure to wear a")</f>
        <v>, failure to wear a</v>
      </c>
      <c r="E277" s="3" t="str">
        <f>IFERROR(__xludf.DUMMYFUNCTION("INDEX(SPLIT($C277,"" ""), ROW()-ROW($E$240)+1)
"),"to")</f>
        <v>to</v>
      </c>
      <c r="F277" s="34" t="s">
        <v>18</v>
      </c>
      <c r="G277" s="2"/>
      <c r="H277" s="1" t="s">
        <v>0</v>
      </c>
      <c r="I277" s="2"/>
      <c r="J277" s="2"/>
      <c r="K277" s="1" t="s">
        <v>15</v>
      </c>
    </row>
    <row r="278" ht="15.75" customHeight="1">
      <c r="A278" s="1">
        <v>277.0</v>
      </c>
      <c r="B278" s="1">
        <v>8.0</v>
      </c>
      <c r="C278" s="4" t="s">
        <v>30</v>
      </c>
      <c r="D278" s="5" t="str">
        <f>IFERROR(__xludf.DUMMYFUNCTION("LET(
  words, TRANSPOSE(SPLIT($C278,""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)"),"failure to wear a seatbelt")</f>
        <v>failure to wear a seatbelt</v>
      </c>
      <c r="E278" s="3" t="str">
        <f>IFERROR(__xludf.DUMMYFUNCTION("INDEX(SPLIT($C278,"" ""), ROW()-ROW($E$240)+1)
"),"wear")</f>
        <v>wear</v>
      </c>
      <c r="F278" s="34" t="s">
        <v>18</v>
      </c>
      <c r="G278" s="2"/>
      <c r="H278" s="1" t="s">
        <v>0</v>
      </c>
      <c r="I278" s="2"/>
      <c r="J278" s="2"/>
      <c r="K278" s="1" t="s">
        <v>15</v>
      </c>
    </row>
    <row r="279" ht="15.75" customHeight="1">
      <c r="A279" s="1">
        <v>278.0</v>
      </c>
      <c r="B279" s="1">
        <v>8.0</v>
      </c>
      <c r="C279" s="4" t="s">
        <v>30</v>
      </c>
      <c r="D279" s="5" t="str">
        <f>IFERROR(__xludf.DUMMYFUNCTION("LET(
  words, TRANSPOSE(SPLIT($C279,""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)"),"to wear a seatbelt ,")</f>
        <v>to wear a seatbelt ,</v>
      </c>
      <c r="E279" s="3" t="str">
        <f>IFERROR(__xludf.DUMMYFUNCTION("INDEX(SPLIT($C279,"" ""), ROW()-ROW($E$240)+1)
"),"a")</f>
        <v>a</v>
      </c>
      <c r="F279" s="34" t="s">
        <v>18</v>
      </c>
      <c r="G279" s="2"/>
      <c r="H279" s="1" t="s">
        <v>0</v>
      </c>
      <c r="I279" s="2"/>
      <c r="J279" s="2"/>
      <c r="K279" s="1" t="s">
        <v>15</v>
      </c>
    </row>
    <row r="280" ht="15.75" customHeight="1">
      <c r="A280" s="1">
        <v>279.0</v>
      </c>
      <c r="B280" s="1">
        <v>8.0</v>
      </c>
      <c r="C280" s="4" t="s">
        <v>30</v>
      </c>
      <c r="D280" s="5" t="str">
        <f>IFERROR(__xludf.DUMMYFUNCTION("LET(
  words, TRANSPOSE(SPLIT($C280,""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)"),"wear a seatbelt , at")</f>
        <v>wear a seatbelt , at</v>
      </c>
      <c r="E280" s="3" t="str">
        <f>IFERROR(__xludf.DUMMYFUNCTION("INDEX(SPLIT($C280,"" ""), ROW()-ROW($E$240)+1)
"),"seatbelt")</f>
        <v>seatbelt</v>
      </c>
      <c r="F280" s="34" t="s">
        <v>18</v>
      </c>
      <c r="G280" s="2"/>
      <c r="H280" s="1" t="s">
        <v>0</v>
      </c>
      <c r="I280" s="2"/>
      <c r="J280" s="2"/>
      <c r="K280" s="1" t="s">
        <v>15</v>
      </c>
    </row>
    <row r="281" ht="15.75" customHeight="1">
      <c r="A281" s="1">
        <v>280.0</v>
      </c>
      <c r="B281" s="1">
        <v>8.0</v>
      </c>
      <c r="C281" s="4" t="s">
        <v>30</v>
      </c>
      <c r="D281" s="5" t="str">
        <f>IFERROR(__xludf.DUMMYFUNCTION("LET(
  words, TRANSPOSE(SPLIT($C281,""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 seatbelt , at allowing")</f>
        <v>a seatbelt , at allowing</v>
      </c>
      <c r="E281" s="3" t="str">
        <f>IFERROR(__xludf.DUMMYFUNCTION("INDEX(SPLIT($C281,"" ""), ROW()-ROW($E$240)+1)
"),",")</f>
        <v>,</v>
      </c>
      <c r="F281" s="34" t="s">
        <v>17</v>
      </c>
      <c r="G281" s="2"/>
      <c r="H281" s="1" t="s">
        <v>0</v>
      </c>
      <c r="I281" s="2"/>
      <c r="J281" s="2"/>
      <c r="K281" s="1" t="s">
        <v>15</v>
      </c>
    </row>
    <row r="282" ht="15.75" customHeight="1">
      <c r="A282" s="1">
        <v>281.0</v>
      </c>
      <c r="B282" s="1">
        <v>8.0</v>
      </c>
      <c r="C282" s="4" t="s">
        <v>30</v>
      </c>
      <c r="D282" s="5" t="str">
        <f>IFERROR(__xludf.DUMMYFUNCTION("LET(
  words, TRANSPOSE(SPLIT($C282,""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)"),"seatbelt , at allowing a")</f>
        <v>seatbelt , at allowing a</v>
      </c>
      <c r="E282" s="3" t="str">
        <f>IFERROR(__xludf.DUMMYFUNCTION("INDEX(SPLIT($C282,"" ""), ROW()-ROW($E$240)+1)
"),"at")</f>
        <v>at</v>
      </c>
      <c r="F282" s="34" t="s">
        <v>16</v>
      </c>
      <c r="G282" s="2"/>
      <c r="H282" s="1" t="s">
        <v>0</v>
      </c>
      <c r="I282" s="2"/>
      <c r="J282" s="2"/>
      <c r="K282" s="1" t="s">
        <v>15</v>
      </c>
    </row>
    <row r="283" ht="15.75" customHeight="1">
      <c r="A283" s="1">
        <v>282.0</v>
      </c>
      <c r="B283" s="1">
        <v>8.0</v>
      </c>
      <c r="C283" s="4" t="s">
        <v>30</v>
      </c>
      <c r="D283" s="5" t="str">
        <f>IFERROR(__xludf.DUMMYFUNCTION("LET(
  words, TRANSPOSE(SPLIT($C283,""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at allowing a child")</f>
        <v>, at allowing a child</v>
      </c>
      <c r="E283" s="3" t="str">
        <f>IFERROR(__xludf.DUMMYFUNCTION("INDEX(SPLIT($C283,"" ""), ROW()-ROW($E$240)+1)
"),"allowing")</f>
        <v>allowing</v>
      </c>
      <c r="F283" s="34" t="s">
        <v>18</v>
      </c>
      <c r="G283" s="2"/>
      <c r="H283" s="1" t="s">
        <v>0</v>
      </c>
      <c r="I283" s="2"/>
      <c r="J283" s="2"/>
      <c r="K283" s="1" t="s">
        <v>15</v>
      </c>
    </row>
    <row r="284" ht="15.75" customHeight="1">
      <c r="A284" s="1">
        <v>283.0</v>
      </c>
      <c r="B284" s="1">
        <v>8.0</v>
      </c>
      <c r="C284" s="4" t="s">
        <v>30</v>
      </c>
      <c r="D284" s="5" t="str">
        <f>IFERROR(__xludf.DUMMYFUNCTION("LET(
  words, TRANSPOSE(SPLIT($C284,""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)"),"at allowing a child to")</f>
        <v>at allowing a child to</v>
      </c>
      <c r="E284" s="3" t="str">
        <f>IFERROR(__xludf.DUMMYFUNCTION("INDEX(SPLIT($C284,"" ""), ROW()-ROW($E$240)+1)
"),"a")</f>
        <v>a</v>
      </c>
      <c r="F284" s="34" t="s">
        <v>18</v>
      </c>
      <c r="G284" s="2"/>
      <c r="H284" s="1" t="s">
        <v>0</v>
      </c>
      <c r="I284" s="2"/>
      <c r="J284" s="2"/>
      <c r="K284" s="1" t="s">
        <v>15</v>
      </c>
    </row>
    <row r="285" ht="15.75" customHeight="1">
      <c r="A285" s="1">
        <v>284.0</v>
      </c>
      <c r="B285" s="1">
        <v>8.0</v>
      </c>
      <c r="C285" s="4" t="s">
        <v>30</v>
      </c>
      <c r="D285" s="5" t="str">
        <f>IFERROR(__xludf.DUMMYFUNCTION("LET(
  words, TRANSPOSE(SPLIT($C285,""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)"),"allowing a child to sit")</f>
        <v>allowing a child to sit</v>
      </c>
      <c r="E285" s="3" t="str">
        <f>IFERROR(__xludf.DUMMYFUNCTION("INDEX(SPLIT($C285,"" ""), ROW()-ROW($E$240)+1)
"),"child")</f>
        <v>child</v>
      </c>
      <c r="F285" s="34" t="s">
        <v>18</v>
      </c>
      <c r="G285" s="2"/>
      <c r="H285" s="1" t="s">
        <v>0</v>
      </c>
      <c r="I285" s="2"/>
      <c r="J285" s="2"/>
      <c r="K285" s="1" t="s">
        <v>15</v>
      </c>
    </row>
    <row r="286" ht="15.75" customHeight="1">
      <c r="A286" s="1">
        <v>285.0</v>
      </c>
      <c r="B286" s="1">
        <v>8.0</v>
      </c>
      <c r="C286" s="4" t="s">
        <v>30</v>
      </c>
      <c r="D286" s="5" t="str">
        <f>IFERROR(__xludf.DUMMYFUNCTION("LET(
  words, TRANSPOSE(SPLIT($C286,""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 child to sit sa")</f>
        <v>a child to sit sa</v>
      </c>
      <c r="E286" s="3" t="str">
        <f>IFERROR(__xludf.DUMMYFUNCTION("INDEX(SPLIT($C286,"" ""), ROW()-ROW($E$240)+1)
"),"to")</f>
        <v>to</v>
      </c>
      <c r="F286" s="34" t="s">
        <v>18</v>
      </c>
      <c r="G286" s="2"/>
      <c r="H286" s="1" t="s">
        <v>0</v>
      </c>
      <c r="I286" s="2"/>
      <c r="J286" s="2"/>
      <c r="K286" s="1" t="s">
        <v>15</v>
      </c>
    </row>
    <row r="287" ht="15.75" customHeight="1">
      <c r="A287" s="1">
        <v>286.0</v>
      </c>
      <c r="B287" s="1">
        <v>8.0</v>
      </c>
      <c r="C287" s="4" t="s">
        <v>30</v>
      </c>
      <c r="D287" s="5" t="str">
        <f>IFERROR(__xludf.DUMMYFUNCTION("LET(
  words, TRANSPOSE(SPLIT($C287,""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)"),"child to sit sa kanilang")</f>
        <v>child to sit sa kanilang</v>
      </c>
      <c r="E287" s="3" t="str">
        <f>IFERROR(__xludf.DUMMYFUNCTION("INDEX(SPLIT($C287,"" ""), ROW()-ROW($E$240)+1)
"),"sit")</f>
        <v>sit</v>
      </c>
      <c r="F287" s="34" t="s">
        <v>18</v>
      </c>
      <c r="G287" s="2"/>
      <c r="H287" s="1" t="s">
        <v>0</v>
      </c>
      <c r="I287" s="2"/>
      <c r="J287" s="2"/>
      <c r="K287" s="1" t="s">
        <v>15</v>
      </c>
    </row>
    <row r="288" ht="15.75" customHeight="1">
      <c r="A288" s="1">
        <v>287.0</v>
      </c>
      <c r="B288" s="1">
        <v>8.0</v>
      </c>
      <c r="C288" s="4" t="s">
        <v>30</v>
      </c>
      <c r="D288" s="5" t="str">
        <f>IFERROR(__xludf.DUMMYFUNCTION("LET(
  words, TRANSPOSE(SPLIT($C288,""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)"),"to sit sa kanilang front")</f>
        <v>to sit sa kanilang front</v>
      </c>
      <c r="E288" s="3" t="str">
        <f>IFERROR(__xludf.DUMMYFUNCTION("INDEX(SPLIT($C288,"" ""), ROW()-ROW($E$240)+1)
"),"sa")</f>
        <v>sa</v>
      </c>
      <c r="F288" s="34" t="s">
        <v>16</v>
      </c>
      <c r="G288" s="2"/>
      <c r="H288" s="1" t="s">
        <v>0</v>
      </c>
      <c r="I288" s="2"/>
      <c r="J288" s="2"/>
      <c r="K288" s="1" t="s">
        <v>15</v>
      </c>
    </row>
    <row r="289" ht="15.75" customHeight="1">
      <c r="A289" s="1">
        <v>288.0</v>
      </c>
      <c r="B289" s="1">
        <v>8.0</v>
      </c>
      <c r="C289" s="4" t="s">
        <v>30</v>
      </c>
      <c r="D289" s="5" t="str">
        <f>IFERROR(__xludf.DUMMYFUNCTION("LET(
  words, TRANSPOSE(SPLIT($C289,""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)"),"sit sa kanilang front seat")</f>
        <v>sit sa kanilang front seat</v>
      </c>
      <c r="E289" s="3" t="str">
        <f>IFERROR(__xludf.DUMMYFUNCTION("INDEX(SPLIT($C289,"" ""), ROW()-ROW($E$240)+1)
"),"kanilang")</f>
        <v>kanilang</v>
      </c>
      <c r="F289" s="34" t="s">
        <v>16</v>
      </c>
      <c r="G289" s="2"/>
      <c r="H289" s="1" t="s">
        <v>0</v>
      </c>
      <c r="I289" s="2"/>
      <c r="J289" s="2"/>
      <c r="K289" s="1" t="s">
        <v>15</v>
      </c>
    </row>
    <row r="290" ht="15.75" customHeight="1">
      <c r="A290" s="1">
        <v>289.0</v>
      </c>
      <c r="B290" s="1">
        <v>8.0</v>
      </c>
      <c r="C290" s="4" t="s">
        <v>30</v>
      </c>
      <c r="D290" s="5" t="str">
        <f>IFERROR(__xludf.DUMMYFUNCTION("LET(
  words, TRANSPOSE(SPLIT($C290,""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kanilang front seat .")</f>
        <v>sa kanilang front seat .</v>
      </c>
      <c r="E290" s="3" t="str">
        <f>IFERROR(__xludf.DUMMYFUNCTION("INDEX(SPLIT($C290,"" ""), ROW()-ROW($E$240)+1)
"),"front")</f>
        <v>front</v>
      </c>
      <c r="F290" s="34" t="s">
        <v>18</v>
      </c>
      <c r="G290" s="2"/>
      <c r="H290" s="1" t="s">
        <v>0</v>
      </c>
      <c r="I290" s="2"/>
      <c r="J290" s="2"/>
      <c r="K290" s="1" t="s">
        <v>15</v>
      </c>
    </row>
    <row r="291" ht="15.75" customHeight="1">
      <c r="A291" s="1">
        <v>290.0</v>
      </c>
      <c r="B291" s="1">
        <v>8.0</v>
      </c>
      <c r="C291" s="4" t="s">
        <v>30</v>
      </c>
      <c r="D291" s="5" t="str">
        <f>IFERROR(__xludf.DUMMYFUNCTION("LET(
  words, TRANSPOSE(SPLIT($C291,""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)"),"kanilang front seat .")</f>
        <v>kanilang front seat .</v>
      </c>
      <c r="E291" s="3" t="str">
        <f>IFERROR(__xludf.DUMMYFUNCTION("INDEX(SPLIT($C291,"" ""), ROW()-ROW($E$240)+1)
"),"seat")</f>
        <v>seat</v>
      </c>
      <c r="F291" s="34" t="s">
        <v>18</v>
      </c>
      <c r="G291" s="2"/>
      <c r="H291" s="1" t="s">
        <v>0</v>
      </c>
      <c r="I291" s="2"/>
      <c r="J291" s="2"/>
      <c r="K291" s="1" t="s">
        <v>15</v>
      </c>
    </row>
    <row r="292" ht="15.75" customHeight="1">
      <c r="A292" s="10">
        <v>291.0</v>
      </c>
      <c r="B292" s="10">
        <v>8.0</v>
      </c>
      <c r="C292" s="7" t="s">
        <v>30</v>
      </c>
      <c r="D292" s="8" t="str">
        <f>IFERROR(__xludf.DUMMYFUNCTION("LET(
  words, TRANSPOSE(SPLIT($C292,"" "")),
  n, ROWS(words),
  i, ROW() - ROW($D$240)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)"),"front seat .")</f>
        <v>front seat .</v>
      </c>
      <c r="E292" s="9" t="str">
        <f>IFERROR(__xludf.DUMMYFUNCTION("INDEX(SPLIT($C292,"" ""), ROW()-ROW($E$240)+1)
"),".")</f>
        <v>.</v>
      </c>
      <c r="F292" s="36" t="s">
        <v>17</v>
      </c>
      <c r="G292" s="6"/>
      <c r="H292" s="10" t="s">
        <v>0</v>
      </c>
      <c r="I292" s="6"/>
      <c r="J292" s="6"/>
      <c r="K292" s="10" t="s">
        <v>15</v>
      </c>
      <c r="L292" s="6"/>
    </row>
    <row r="293" ht="15.75" customHeight="1">
      <c r="A293" s="1">
        <v>292.0</v>
      </c>
      <c r="B293" s="1">
        <v>9.0</v>
      </c>
      <c r="C293" s="4" t="s">
        <v>32</v>
      </c>
      <c r="D293" s="5" t="str">
        <f>IFERROR(__xludf.DUMMYFUNCTION("LET(
  words, TRANSPOSE(SPLIT($C293,""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)"),"yung gaf magmemeeting")</f>
        <v>yung gaf magmemeeting</v>
      </c>
      <c r="E293" s="3" t="str">
        <f>IFERROR(__xludf.DUMMYFUNCTION("INDEX(SPLIT($C293,"" ""), ROW()-ROW($E$293)+1)
"),"yung")</f>
        <v>yung</v>
      </c>
      <c r="F293" s="34" t="s">
        <v>16</v>
      </c>
      <c r="G293" s="2"/>
      <c r="H293" s="1" t="s">
        <v>0</v>
      </c>
      <c r="I293" s="2"/>
      <c r="J293" s="2"/>
      <c r="K293" s="1" t="s">
        <v>15</v>
      </c>
    </row>
    <row r="294" ht="15.75" customHeight="1">
      <c r="A294" s="1">
        <v>293.0</v>
      </c>
      <c r="B294" s="1">
        <v>9.0</v>
      </c>
      <c r="C294" s="4" t="s">
        <v>32</v>
      </c>
      <c r="D294" s="5" t="str">
        <f>IFERROR(__xludf.DUMMYFUNCTION("LET(
  words, TRANSPOSE(SPLIT($C294,""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)"),"yung gaf magmemeeting tayo")</f>
        <v>yung gaf magmemeeting tayo</v>
      </c>
      <c r="E294" s="3" t="str">
        <f>IFERROR(__xludf.DUMMYFUNCTION("INDEX(SPLIT($C294,"" ""), ROW()-ROW($E$293)+1)
"),"gaf")</f>
        <v>gaf</v>
      </c>
      <c r="F294" s="30" t="s">
        <v>13</v>
      </c>
      <c r="G294" s="1" t="s">
        <v>31</v>
      </c>
      <c r="H294" s="1" t="s">
        <v>0</v>
      </c>
      <c r="I294" s="2"/>
      <c r="J294" s="2"/>
      <c r="K294" s="1" t="s">
        <v>15</v>
      </c>
    </row>
    <row r="295" ht="15.75" customHeight="1">
      <c r="A295" s="1">
        <v>294.0</v>
      </c>
      <c r="B295" s="1">
        <v>9.0</v>
      </c>
      <c r="C295" s="4" t="s">
        <v>32</v>
      </c>
      <c r="D295" s="5" t="str">
        <f>IFERROR(__xludf.DUMMYFUNCTION("LET(
  words, TRANSPOSE(SPLIT($C295,""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)"),"yung gaf magmemeeting tayo para")</f>
        <v>yung gaf magmemeeting tayo para</v>
      </c>
      <c r="E295" s="3" t="str">
        <f>IFERROR(__xludf.DUMMYFUNCTION("INDEX(SPLIT($C295,"" ""), ROW()-ROW($E$293)+1)
"),"magmemeeting")</f>
        <v>magmemeeting</v>
      </c>
      <c r="F295" s="34" t="s">
        <v>23</v>
      </c>
      <c r="G295" s="2"/>
      <c r="H295" s="1" t="s">
        <v>0</v>
      </c>
      <c r="I295" s="2"/>
      <c r="J295" s="2"/>
      <c r="K295" s="1" t="s">
        <v>15</v>
      </c>
    </row>
    <row r="296" ht="15.75" customHeight="1">
      <c r="A296" s="1">
        <v>295.0</v>
      </c>
      <c r="B296" s="1">
        <v>9.0</v>
      </c>
      <c r="C296" s="4" t="s">
        <v>32</v>
      </c>
      <c r="D296" s="5" t="str">
        <f>IFERROR(__xludf.DUMMYFUNCTION("LET(
  words, TRANSPOSE(SPLIT($C296,""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)"),"gaf magmemeeting tayo para dun")</f>
        <v>gaf magmemeeting tayo para dun</v>
      </c>
      <c r="E296" s="3" t="str">
        <f>IFERROR(__xludf.DUMMYFUNCTION("INDEX(SPLIT($C296,"" ""), ROW()-ROW($E$293)+1)
"),"tayo")</f>
        <v>tayo</v>
      </c>
      <c r="F296" s="30" t="s">
        <v>16</v>
      </c>
      <c r="G296" s="2"/>
      <c r="H296" s="1" t="s">
        <v>0</v>
      </c>
      <c r="I296" s="2"/>
      <c r="J296" s="2"/>
      <c r="K296" s="1" t="s">
        <v>15</v>
      </c>
    </row>
    <row r="297" ht="15.75" customHeight="1">
      <c r="A297" s="1">
        <v>296.0</v>
      </c>
      <c r="B297" s="1">
        <v>9.0</v>
      </c>
      <c r="C297" s="4" t="s">
        <v>32</v>
      </c>
      <c r="D297" s="5" t="str">
        <f>IFERROR(__xludf.DUMMYFUNCTION("LET(
  words, TRANSPOSE(SPLIT($C297,""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)"),"magmemeeting tayo para dun ,")</f>
        <v>magmemeeting tayo para dun ,</v>
      </c>
      <c r="E297" s="3" t="str">
        <f>IFERROR(__xludf.DUMMYFUNCTION("INDEX(SPLIT($C297,"" ""), ROW()-ROW($E$293)+1)
"),"para")</f>
        <v>para</v>
      </c>
      <c r="F297" s="34" t="s">
        <v>16</v>
      </c>
      <c r="G297" s="2"/>
      <c r="H297" s="1" t="s">
        <v>0</v>
      </c>
      <c r="I297" s="2"/>
      <c r="J297" s="2"/>
      <c r="K297" s="1" t="s">
        <v>15</v>
      </c>
    </row>
    <row r="298" ht="15.75" customHeight="1">
      <c r="A298" s="1">
        <v>297.0</v>
      </c>
      <c r="B298" s="1">
        <v>9.0</v>
      </c>
      <c r="C298" s="4" t="s">
        <v>32</v>
      </c>
      <c r="D298" s="5" t="str">
        <f>IFERROR(__xludf.DUMMYFUNCTION("LET(
  words, TRANSPOSE(SPLIT($C298,""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)"),"tayo para dun , real")</f>
        <v>tayo para dun , real</v>
      </c>
      <c r="E298" s="3" t="str">
        <f>IFERROR(__xludf.DUMMYFUNCTION("INDEX(SPLIT($C298,"" ""), ROW()-ROW($E$293)+1)
"),"dun")</f>
        <v>dun</v>
      </c>
      <c r="F298" s="30" t="s">
        <v>16</v>
      </c>
      <c r="G298" s="2"/>
      <c r="H298" s="1" t="s">
        <v>0</v>
      </c>
      <c r="I298" s="2"/>
      <c r="J298" s="2"/>
      <c r="K298" s="1" t="s">
        <v>15</v>
      </c>
    </row>
    <row r="299" ht="15.75" customHeight="1">
      <c r="A299" s="1">
        <v>298.0</v>
      </c>
      <c r="B299" s="1">
        <v>9.0</v>
      </c>
      <c r="C299" s="4" t="s">
        <v>32</v>
      </c>
      <c r="D299" s="5" t="str">
        <f>IFERROR(__xludf.DUMMYFUNCTION("LET(
  words, TRANSPOSE(SPLIT($C299,""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)"),"para dun , real quick")</f>
        <v>para dun , real quick</v>
      </c>
      <c r="E299" s="3" t="str">
        <f>IFERROR(__xludf.DUMMYFUNCTION("INDEX(SPLIT($C299,"" ""), ROW()-ROW($E$293)+1)
"),",")</f>
        <v>,</v>
      </c>
      <c r="F299" s="34" t="s">
        <v>17</v>
      </c>
      <c r="G299" s="2"/>
      <c r="H299" s="1" t="s">
        <v>0</v>
      </c>
      <c r="I299" s="2"/>
      <c r="J299" s="2"/>
      <c r="K299" s="1" t="s">
        <v>15</v>
      </c>
    </row>
    <row r="300" ht="15.75" customHeight="1">
      <c r="A300" s="1">
        <v>299.0</v>
      </c>
      <c r="B300" s="1">
        <v>9.0</v>
      </c>
      <c r="C300" s="4" t="s">
        <v>32</v>
      </c>
      <c r="D300" s="5" t="str">
        <f>IFERROR(__xludf.DUMMYFUNCTION("LET(
  words, TRANSPOSE(SPLIT($C300,""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)"),"dun , real quick lang")</f>
        <v>dun , real quick lang</v>
      </c>
      <c r="E300" s="3" t="str">
        <f>IFERROR(__xludf.DUMMYFUNCTION("INDEX(SPLIT($C300,"" ""), ROW()-ROW($E$293)+1)
"),"real")</f>
        <v>real</v>
      </c>
      <c r="F300" s="30" t="s">
        <v>18</v>
      </c>
      <c r="G300" s="2"/>
      <c r="H300" s="1" t="s">
        <v>0</v>
      </c>
      <c r="I300" s="2"/>
      <c r="J300" s="2"/>
      <c r="K300" s="1" t="s">
        <v>15</v>
      </c>
    </row>
    <row r="301" ht="15.75" customHeight="1">
      <c r="A301" s="1">
        <v>300.0</v>
      </c>
      <c r="B301" s="1">
        <v>9.0</v>
      </c>
      <c r="C301" s="4" t="s">
        <v>32</v>
      </c>
      <c r="D301" s="5" t="str">
        <f>IFERROR(__xludf.DUMMYFUNCTION("LET(
  words, TRANSPOSE(SPLIT($C301,""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real quick lang to")</f>
        <v>, real quick lang to</v>
      </c>
      <c r="E301" s="3" t="str">
        <f>IFERROR(__xludf.DUMMYFUNCTION("INDEX(SPLIT($C301,"" ""), ROW()-ROW($E$293)+1)
"),"quick")</f>
        <v>quick</v>
      </c>
      <c r="F301" s="30" t="s">
        <v>18</v>
      </c>
      <c r="G301" s="2"/>
      <c r="H301" s="1" t="s">
        <v>0</v>
      </c>
      <c r="I301" s="2"/>
      <c r="J301" s="2"/>
      <c r="K301" s="1" t="s">
        <v>15</v>
      </c>
    </row>
    <row r="302" ht="15.75" customHeight="1">
      <c r="A302" s="1">
        <v>301.0</v>
      </c>
      <c r="B302" s="1">
        <v>9.0</v>
      </c>
      <c r="C302" s="4" t="s">
        <v>32</v>
      </c>
      <c r="D302" s="5" t="str">
        <f>IFERROR(__xludf.DUMMYFUNCTION("LET(
  words, TRANSPOSE(SPLIT($C302,""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)"),"real quick lang to view")</f>
        <v>real quick lang to view</v>
      </c>
      <c r="E302" s="3" t="str">
        <f>IFERROR(__xludf.DUMMYFUNCTION("INDEX(SPLIT($C302,"" ""), ROW()-ROW($E$293)+1)
"),"lang")</f>
        <v>lang</v>
      </c>
      <c r="F302" s="30" t="s">
        <v>16</v>
      </c>
      <c r="G302" s="2"/>
      <c r="H302" s="1" t="s">
        <v>0</v>
      </c>
      <c r="I302" s="2"/>
      <c r="J302" s="2"/>
      <c r="K302" s="1" t="s">
        <v>15</v>
      </c>
    </row>
    <row r="303" ht="15.75" customHeight="1">
      <c r="A303" s="1">
        <v>302.0</v>
      </c>
      <c r="B303" s="1">
        <v>9.0</v>
      </c>
      <c r="C303" s="4" t="s">
        <v>32</v>
      </c>
      <c r="D303" s="5" t="str">
        <f>IFERROR(__xludf.DUMMYFUNCTION("LET(
  words, TRANSPOSE(SPLIT($C303,""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)"),"quick lang to view the")</f>
        <v>quick lang to view the</v>
      </c>
      <c r="E303" s="3" t="str">
        <f>IFERROR(__xludf.DUMMYFUNCTION("INDEX(SPLIT($C303,"" ""), ROW()-ROW($E$293)+1)
"),"to")</f>
        <v>to</v>
      </c>
      <c r="F303" s="34" t="s">
        <v>18</v>
      </c>
      <c r="G303" s="2"/>
      <c r="H303" s="1" t="s">
        <v>0</v>
      </c>
      <c r="I303" s="2"/>
      <c r="J303" s="2"/>
      <c r="K303" s="1" t="s">
        <v>15</v>
      </c>
    </row>
    <row r="304" ht="15.75" customHeight="1">
      <c r="A304" s="1">
        <v>303.0</v>
      </c>
      <c r="B304" s="1">
        <v>9.0</v>
      </c>
      <c r="C304" s="4" t="s">
        <v>32</v>
      </c>
      <c r="D304" s="5" t="str">
        <f>IFERROR(__xludf.DUMMYFUNCTION("LET(
  words, TRANSPOSE(SPLIT($C304,""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)"),"lang to view the grades")</f>
        <v>lang to view the grades</v>
      </c>
      <c r="E304" s="3" t="str">
        <f>IFERROR(__xludf.DUMMYFUNCTION("INDEX(SPLIT($C304,"" ""), ROW()-ROW($E$293)+1)
"),"view")</f>
        <v>view</v>
      </c>
      <c r="F304" s="34" t="s">
        <v>18</v>
      </c>
      <c r="G304" s="2"/>
      <c r="H304" s="1" t="s">
        <v>0</v>
      </c>
      <c r="I304" s="2"/>
      <c r="J304" s="2"/>
      <c r="K304" s="1" t="s">
        <v>15</v>
      </c>
    </row>
    <row r="305" ht="15.75" customHeight="1">
      <c r="A305" s="1">
        <v>304.0</v>
      </c>
      <c r="B305" s="1">
        <v>9.0</v>
      </c>
      <c r="C305" s="4" t="s">
        <v>32</v>
      </c>
      <c r="D305" s="5" t="str">
        <f>IFERROR(__xludf.DUMMYFUNCTION("LET(
  words, TRANSPOSE(SPLIT($C305,""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)"),"to view the grades and")</f>
        <v>to view the grades and</v>
      </c>
      <c r="E305" s="3" t="str">
        <f>IFERROR(__xludf.DUMMYFUNCTION("INDEX(SPLIT($C305,"" ""), ROW()-ROW($E$293)+1)
"),"the")</f>
        <v>the</v>
      </c>
      <c r="F305" s="34" t="s">
        <v>18</v>
      </c>
      <c r="G305" s="2"/>
      <c r="H305" s="1" t="s">
        <v>0</v>
      </c>
      <c r="I305" s="2"/>
      <c r="J305" s="2"/>
      <c r="K305" s="1" t="s">
        <v>15</v>
      </c>
    </row>
    <row r="306" ht="15.75" customHeight="1">
      <c r="A306" s="1">
        <v>305.0</v>
      </c>
      <c r="B306" s="1">
        <v>9.0</v>
      </c>
      <c r="C306" s="4" t="s">
        <v>32</v>
      </c>
      <c r="D306" s="5" t="str">
        <f>IFERROR(__xludf.DUMMYFUNCTION("LET(
  words, TRANSPOSE(SPLIT($C306,""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)"),"view the grades and adjustments")</f>
        <v>view the grades and adjustments</v>
      </c>
      <c r="E306" s="3" t="str">
        <f>IFERROR(__xludf.DUMMYFUNCTION("INDEX(SPLIT($C306,"" ""), ROW()-ROW($E$293)+1)
"),"grades")</f>
        <v>grades</v>
      </c>
      <c r="F306" s="34" t="s">
        <v>18</v>
      </c>
      <c r="G306" s="2"/>
      <c r="H306" s="1" t="s">
        <v>0</v>
      </c>
      <c r="I306" s="2"/>
      <c r="J306" s="2"/>
      <c r="K306" s="1" t="s">
        <v>15</v>
      </c>
    </row>
    <row r="307" ht="15.75" customHeight="1">
      <c r="A307" s="1">
        <v>306.0</v>
      </c>
      <c r="B307" s="1">
        <v>9.0</v>
      </c>
      <c r="C307" s="4" t="s">
        <v>32</v>
      </c>
      <c r="D307" s="5" t="str">
        <f>IFERROR(__xludf.DUMMYFUNCTION("LET(
  words, TRANSPOSE(SPLIT($C307,""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)"),"the grades and adjustments kaso")</f>
        <v>the grades and adjustments kaso</v>
      </c>
      <c r="E307" s="3" t="str">
        <f>IFERROR(__xludf.DUMMYFUNCTION("INDEX(SPLIT($C307,"" ""), ROW()-ROW($E$293)+1)
"),"and")</f>
        <v>and</v>
      </c>
      <c r="F307" s="34" t="s">
        <v>18</v>
      </c>
      <c r="G307" s="2"/>
      <c r="H307" s="1" t="s">
        <v>0</v>
      </c>
      <c r="I307" s="2"/>
      <c r="J307" s="2"/>
      <c r="K307" s="1" t="s">
        <v>15</v>
      </c>
    </row>
    <row r="308" ht="15.75" customHeight="1">
      <c r="A308" s="1">
        <v>307.0</v>
      </c>
      <c r="B308" s="1">
        <v>9.0</v>
      </c>
      <c r="C308" s="4" t="s">
        <v>32</v>
      </c>
      <c r="D308" s="5" t="str">
        <f>IFERROR(__xludf.DUMMYFUNCTION("LET(
  words, TRANSPOSE(SPLIT($C308,""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)"),"grades and adjustments kaso bukas")</f>
        <v>grades and adjustments kaso bukas</v>
      </c>
      <c r="E308" s="3" t="str">
        <f>IFERROR(__xludf.DUMMYFUNCTION("INDEX(SPLIT($C308,"" ""), ROW()-ROW($E$293)+1)
"),"adjustments")</f>
        <v>adjustments</v>
      </c>
      <c r="F308" s="34" t="s">
        <v>18</v>
      </c>
      <c r="G308" s="2"/>
      <c r="H308" s="1" t="s">
        <v>0</v>
      </c>
      <c r="I308" s="2"/>
      <c r="J308" s="2"/>
      <c r="K308" s="1" t="s">
        <v>15</v>
      </c>
    </row>
    <row r="309" ht="15.75" customHeight="1">
      <c r="A309" s="1">
        <v>308.0</v>
      </c>
      <c r="B309" s="1">
        <v>9.0</v>
      </c>
      <c r="C309" s="4" t="s">
        <v>32</v>
      </c>
      <c r="D309" s="5" t="str">
        <f>IFERROR(__xludf.DUMMYFUNCTION("LET(
  words, TRANSPOSE(SPLIT($C309,""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)"),"and adjustments kaso bukas pa")</f>
        <v>and adjustments kaso bukas pa</v>
      </c>
      <c r="E309" s="3" t="str">
        <f>IFERROR(__xludf.DUMMYFUNCTION("INDEX(SPLIT($C309,"" ""), ROW()-ROW($E$293)+1)
"),"kaso")</f>
        <v>kaso</v>
      </c>
      <c r="F309" s="30" t="s">
        <v>16</v>
      </c>
      <c r="G309" s="2"/>
      <c r="H309" s="1" t="s">
        <v>0</v>
      </c>
      <c r="I309" s="2"/>
      <c r="J309" s="2"/>
      <c r="K309" s="1" t="s">
        <v>15</v>
      </c>
    </row>
    <row r="310" ht="15.75" customHeight="1">
      <c r="A310" s="1">
        <v>309.0</v>
      </c>
      <c r="B310" s="1">
        <v>9.0</v>
      </c>
      <c r="C310" s="4" t="s">
        <v>32</v>
      </c>
      <c r="D310" s="5" t="str">
        <f>IFERROR(__xludf.DUMMYFUNCTION("LET(
  words, TRANSPOSE(SPLIT($C310,""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)"),"adjustments kaso bukas pa dahil")</f>
        <v>adjustments kaso bukas pa dahil</v>
      </c>
      <c r="E310" s="3" t="str">
        <f>IFERROR(__xludf.DUMMYFUNCTION("INDEX(SPLIT($C310,"" ""), ROW()-ROW($E$293)+1)
"),"bukas")</f>
        <v>bukas</v>
      </c>
      <c r="F310" s="34" t="s">
        <v>16</v>
      </c>
      <c r="G310" s="2"/>
      <c r="H310" s="1" t="s">
        <v>0</v>
      </c>
      <c r="I310" s="2"/>
      <c r="J310" s="2"/>
      <c r="K310" s="1" t="s">
        <v>15</v>
      </c>
    </row>
    <row r="311" ht="15.75" customHeight="1">
      <c r="A311" s="1">
        <v>310.0</v>
      </c>
      <c r="B311" s="1">
        <v>9.0</v>
      </c>
      <c r="C311" s="4" t="s">
        <v>32</v>
      </c>
      <c r="D311" s="5" t="str">
        <f>IFERROR(__xludf.DUMMYFUNCTION("LET(
  words, TRANSPOSE(SPLIT($C311,""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)"),"kaso bukas pa dahil wala")</f>
        <v>kaso bukas pa dahil wala</v>
      </c>
      <c r="E311" s="3" t="str">
        <f>IFERROR(__xludf.DUMMYFUNCTION("INDEX(SPLIT($C311,"" ""), ROW()-ROW($E$293)+1)
"),"pa")</f>
        <v>pa</v>
      </c>
      <c r="F311" s="30" t="s">
        <v>16</v>
      </c>
      <c r="G311" s="2"/>
      <c r="H311" s="1" t="s">
        <v>0</v>
      </c>
      <c r="I311" s="2"/>
      <c r="J311" s="2"/>
      <c r="K311" s="1" t="s">
        <v>15</v>
      </c>
    </row>
    <row r="312" ht="15.75" customHeight="1">
      <c r="A312" s="1">
        <v>311.0</v>
      </c>
      <c r="B312" s="1">
        <v>9.0</v>
      </c>
      <c r="C312" s="4" t="s">
        <v>32</v>
      </c>
      <c r="D312" s="5" t="str">
        <f>IFERROR(__xludf.DUMMYFUNCTION("LET(
  words, TRANSPOSE(SPLIT($C312,""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)"),"bukas pa dahil wala pang")</f>
        <v>bukas pa dahil wala pang</v>
      </c>
      <c r="E312" s="3" t="str">
        <f>IFERROR(__xludf.DUMMYFUNCTION("INDEX(SPLIT($C312,"" ""), ROW()-ROW($E$293)+1)
"),"dahil")</f>
        <v>dahil</v>
      </c>
      <c r="F312" s="34" t="s">
        <v>16</v>
      </c>
      <c r="G312" s="2"/>
      <c r="H312" s="1" t="s">
        <v>0</v>
      </c>
      <c r="I312" s="2"/>
      <c r="J312" s="2"/>
      <c r="K312" s="1" t="s">
        <v>15</v>
      </c>
    </row>
    <row r="313" ht="15.75" customHeight="1">
      <c r="A313" s="1">
        <v>312.0</v>
      </c>
      <c r="B313" s="1">
        <v>9.0</v>
      </c>
      <c r="C313" s="4" t="s">
        <v>32</v>
      </c>
      <c r="D313" s="5" t="str">
        <f>IFERROR(__xludf.DUMMYFUNCTION("LET(
  words, TRANSPOSE(SPLIT($C313,""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 dahil wala pang grade")</f>
        <v>pa dahil wala pang grade</v>
      </c>
      <c r="E313" s="3" t="str">
        <f>IFERROR(__xludf.DUMMYFUNCTION("INDEX(SPLIT($C313,"" ""), ROW()-ROW($E$293)+1)
"),"wala")</f>
        <v>wala</v>
      </c>
      <c r="F313" s="34" t="s">
        <v>16</v>
      </c>
      <c r="G313" s="2"/>
      <c r="H313" s="1" t="s">
        <v>0</v>
      </c>
      <c r="I313" s="2"/>
      <c r="J313" s="2"/>
      <c r="K313" s="1" t="s">
        <v>15</v>
      </c>
    </row>
    <row r="314" ht="15.75" customHeight="1">
      <c r="A314" s="1">
        <v>313.0</v>
      </c>
      <c r="B314" s="1">
        <v>9.0</v>
      </c>
      <c r="C314" s="4" t="s">
        <v>32</v>
      </c>
      <c r="D314" s="5" t="str">
        <f>IFERROR(__xludf.DUMMYFUNCTION("LET(
  words, TRANSPOSE(SPLIT($C314,""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)"),"dahil wala pang grade yung")</f>
        <v>dahil wala pang grade yung</v>
      </c>
      <c r="E314" s="3" t="str">
        <f>IFERROR(__xludf.DUMMYFUNCTION("INDEX(SPLIT($C314,"" ""), ROW()-ROW($E$293)+1)
"),"pang")</f>
        <v>pang</v>
      </c>
      <c r="F314" s="30" t="s">
        <v>16</v>
      </c>
      <c r="G314" s="2"/>
      <c r="H314" s="1" t="s">
        <v>0</v>
      </c>
      <c r="I314" s="2"/>
      <c r="J314" s="2"/>
      <c r="K314" s="1" t="s">
        <v>15</v>
      </c>
    </row>
    <row r="315" ht="15.75" customHeight="1">
      <c r="A315" s="1">
        <v>314.0</v>
      </c>
      <c r="B315" s="1">
        <v>9.0</v>
      </c>
      <c r="C315" s="4" t="s">
        <v>32</v>
      </c>
      <c r="D315" s="5" t="str">
        <f>IFERROR(__xludf.DUMMYFUNCTION("LET(
  words, TRANSPOSE(SPLIT($C315,""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)"),"wala pang grade yung phase")</f>
        <v>wala pang grade yung phase</v>
      </c>
      <c r="E315" s="3" t="str">
        <f>IFERROR(__xludf.DUMMYFUNCTION("INDEX(SPLIT($C315,"" ""), ROW()-ROW($E$293)+1)
"),"grade")</f>
        <v>grade</v>
      </c>
      <c r="F315" s="34" t="s">
        <v>18</v>
      </c>
      <c r="G315" s="2"/>
      <c r="H315" s="1" t="s">
        <v>0</v>
      </c>
      <c r="I315" s="2"/>
      <c r="J315" s="2"/>
      <c r="K315" s="1" t="s">
        <v>15</v>
      </c>
    </row>
    <row r="316" ht="15.75" customHeight="1">
      <c r="A316" s="1">
        <v>315.0</v>
      </c>
      <c r="B316" s="1">
        <v>9.0</v>
      </c>
      <c r="C316" s="4" t="s">
        <v>32</v>
      </c>
      <c r="D316" s="5" t="str">
        <f>IFERROR(__xludf.DUMMYFUNCTION("LET(
  words, TRANSPOSE(SPLIT($C316,""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)"),"pang grade yung phase 3")</f>
        <v>pang grade yung phase 3</v>
      </c>
      <c r="E316" s="3" t="str">
        <f>IFERROR(__xludf.DUMMYFUNCTION("INDEX(SPLIT($C316,"" ""), ROW()-ROW($E$293)+1)
"),"yung")</f>
        <v>yung</v>
      </c>
      <c r="F316" s="34" t="s">
        <v>16</v>
      </c>
      <c r="G316" s="2"/>
      <c r="H316" s="1" t="s">
        <v>0</v>
      </c>
      <c r="I316" s="2"/>
      <c r="J316" s="2"/>
      <c r="K316" s="1" t="s">
        <v>15</v>
      </c>
    </row>
    <row r="317" ht="15.75" customHeight="1">
      <c r="A317" s="1">
        <v>316.0</v>
      </c>
      <c r="B317" s="1">
        <v>9.0</v>
      </c>
      <c r="C317" s="4" t="s">
        <v>32</v>
      </c>
      <c r="D317" s="5" t="str">
        <f>IFERROR(__xludf.DUMMYFUNCTION("LET(
  words, TRANSPOSE(SPLIT($C317,""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)"),"grade yung phase 3")</f>
        <v>grade yung phase 3</v>
      </c>
      <c r="E317" s="3" t="str">
        <f>IFERROR(__xludf.DUMMYFUNCTION("INDEX(SPLIT($C317,"" ""), ROW()-ROW($E$293)+1)
"),"phase")</f>
        <v>phase</v>
      </c>
      <c r="F317" s="34" t="s">
        <v>18</v>
      </c>
      <c r="G317" s="2"/>
      <c r="H317" s="1" t="s">
        <v>0</v>
      </c>
      <c r="I317" s="2"/>
      <c r="J317" s="2"/>
      <c r="K317" s="1" t="s">
        <v>15</v>
      </c>
    </row>
    <row r="318" ht="15.75" customHeight="1">
      <c r="A318" s="10">
        <v>317.0</v>
      </c>
      <c r="B318" s="10">
        <v>9.0</v>
      </c>
      <c r="C318" s="7" t="s">
        <v>32</v>
      </c>
      <c r="D318" s="8" t="str">
        <f>IFERROR(__xludf.DUMMYFUNCTION("LET(
  words, TRANSPOSE(SPLIT($C318,"" "")),
  n, ROWS(words),
  i, ROW() - ROW($D$293)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)"),"yung phase 3")</f>
        <v>yung phase 3</v>
      </c>
      <c r="E318" s="9">
        <f>IFERROR(__xludf.DUMMYFUNCTION("INDEX(SPLIT($C318,"" ""), ROW()-ROW($E$293)+1)
"),3.0)</f>
        <v>3</v>
      </c>
      <c r="F318" s="32" t="s">
        <v>17</v>
      </c>
      <c r="G318" s="6"/>
      <c r="H318" s="10" t="s">
        <v>0</v>
      </c>
      <c r="I318" s="6"/>
      <c r="J318" s="6"/>
      <c r="K318" s="10" t="s">
        <v>15</v>
      </c>
      <c r="L318" s="6"/>
    </row>
    <row r="319" ht="15.75" customHeight="1">
      <c r="A319" s="1">
        <v>318.0</v>
      </c>
      <c r="B319" s="1">
        <v>10.0</v>
      </c>
      <c r="C319" s="4" t="s">
        <v>33</v>
      </c>
      <c r="D319" s="5" t="str">
        <f>IFERROR(__xludf.DUMMYFUNCTION("LET(
  words, TRANSPOSE(SPLIT($C319,""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practice na")</f>
        <v>sa practice na</v>
      </c>
      <c r="E319" s="3" t="str">
        <f>IFERROR(__xludf.DUMMYFUNCTION("INDEX(SPLIT($C319,"" ""), ROW()-ROW($E$319)+1)
"),"sa")</f>
        <v>sa</v>
      </c>
      <c r="F319" s="30" t="s">
        <v>16</v>
      </c>
      <c r="G319" s="2"/>
      <c r="H319" s="1" t="s">
        <v>0</v>
      </c>
      <c r="I319" s="2"/>
      <c r="J319" s="2"/>
      <c r="K319" s="1" t="s">
        <v>15</v>
      </c>
    </row>
    <row r="320" ht="15.75" customHeight="1">
      <c r="A320" s="1">
        <v>319.0</v>
      </c>
      <c r="B320" s="1">
        <v>10.0</v>
      </c>
      <c r="C320" s="4" t="s">
        <v>33</v>
      </c>
      <c r="D320" s="5" t="str">
        <f>IFERROR(__xludf.DUMMYFUNCTION("LET(
  words, TRANSPOSE(SPLIT($C320,""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practice na ba")</f>
        <v>sa practice na ba</v>
      </c>
      <c r="E320" s="3" t="str">
        <f>IFERROR(__xludf.DUMMYFUNCTION("INDEX(SPLIT($C320,"" ""), ROW()-ROW($E$319)+1)
"),"practice")</f>
        <v>practice</v>
      </c>
      <c r="F320" s="30" t="s">
        <v>18</v>
      </c>
      <c r="G320" s="2"/>
      <c r="H320" s="1" t="s">
        <v>0</v>
      </c>
      <c r="I320" s="2"/>
      <c r="J320" s="2"/>
      <c r="K320" s="1" t="s">
        <v>15</v>
      </c>
    </row>
    <row r="321" ht="15.75" customHeight="1">
      <c r="A321" s="1">
        <v>320.0</v>
      </c>
      <c r="B321" s="1">
        <v>10.0</v>
      </c>
      <c r="C321" s="4" t="s">
        <v>33</v>
      </c>
      <c r="D321" s="5" t="str">
        <f>IFERROR(__xludf.DUMMYFUNCTION("LET(
  words, TRANSPOSE(SPLIT($C321,""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practice na ba tayo")</f>
        <v>sa practice na ba tayo</v>
      </c>
      <c r="E321" s="3" t="str">
        <f>IFERROR(__xludf.DUMMYFUNCTION("INDEX(SPLIT($C321,"" ""), ROW()-ROW($E$319)+1)
"),"na")</f>
        <v>na</v>
      </c>
      <c r="F321" s="30" t="s">
        <v>16</v>
      </c>
      <c r="G321" s="2"/>
      <c r="H321" s="1" t="s">
        <v>0</v>
      </c>
      <c r="I321" s="2"/>
      <c r="J321" s="2"/>
      <c r="K321" s="1" t="s">
        <v>15</v>
      </c>
    </row>
    <row r="322" ht="15.75" customHeight="1">
      <c r="A322" s="1">
        <v>321.0</v>
      </c>
      <c r="B322" s="1">
        <v>10.0</v>
      </c>
      <c r="C322" s="4" t="s">
        <v>33</v>
      </c>
      <c r="D322" s="5" t="str">
        <f>IFERROR(__xludf.DUMMYFUNCTION("LET(
  words, TRANSPOSE(SPLIT($C322,""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)"),"practice na ba tayo magcoconceptualize")</f>
        <v>practice na ba tayo magcoconceptualize</v>
      </c>
      <c r="E322" s="3" t="str">
        <f>IFERROR(__xludf.DUMMYFUNCTION("INDEX(SPLIT($C322,"" ""), ROW()-ROW($E$319)+1)
"),"ba")</f>
        <v>ba</v>
      </c>
      <c r="F322" s="30" t="s">
        <v>16</v>
      </c>
      <c r="G322" s="2"/>
      <c r="H322" s="1" t="s">
        <v>0</v>
      </c>
      <c r="I322" s="2"/>
      <c r="J322" s="2"/>
      <c r="K322" s="1" t="s">
        <v>15</v>
      </c>
    </row>
    <row r="323" ht="15.75" customHeight="1">
      <c r="A323" s="1">
        <v>322.0</v>
      </c>
      <c r="B323" s="1">
        <v>10.0</v>
      </c>
      <c r="C323" s="4" t="s">
        <v>33</v>
      </c>
      <c r="D323" s="5" t="str">
        <f>IFERROR(__xludf.DUMMYFUNCTION("LET(
  words, TRANSPOSE(SPLIT($C323,""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ba tayo magcoconceptualize mismo")</f>
        <v>na ba tayo magcoconceptualize mismo</v>
      </c>
      <c r="E323" s="3" t="str">
        <f>IFERROR(__xludf.DUMMYFUNCTION("INDEX(SPLIT($C323,"" ""), ROW()-ROW($E$319)+1)
"),"tayo")</f>
        <v>tayo</v>
      </c>
      <c r="F323" s="30" t="s">
        <v>16</v>
      </c>
      <c r="G323" s="2"/>
      <c r="H323" s="1" t="s">
        <v>0</v>
      </c>
      <c r="I323" s="2"/>
      <c r="J323" s="2"/>
      <c r="K323" s="1" t="s">
        <v>15</v>
      </c>
    </row>
    <row r="324" ht="15.75" customHeight="1">
      <c r="A324" s="1">
        <v>323.0</v>
      </c>
      <c r="B324" s="1">
        <v>10.0</v>
      </c>
      <c r="C324" s="4" t="s">
        <v>33</v>
      </c>
      <c r="D324" s="5" t="str">
        <f>IFERROR(__xludf.DUMMYFUNCTION("LET(
  words, TRANSPOSE(SPLIT($C324,""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)"),"ba tayo magcoconceptualize mismo ng")</f>
        <v>ba tayo magcoconceptualize mismo ng</v>
      </c>
      <c r="E324" s="3" t="str">
        <f>IFERROR(__xludf.DUMMYFUNCTION("INDEX(SPLIT($C324,"" ""), ROW()-ROW($E$319)+1)
"),"magcoconceptualize")</f>
        <v>magcoconceptualize</v>
      </c>
      <c r="F324" s="30" t="s">
        <v>23</v>
      </c>
      <c r="G324" s="2"/>
      <c r="H324" s="1" t="s">
        <v>0</v>
      </c>
      <c r="I324" s="2"/>
      <c r="J324" s="2"/>
      <c r="K324" s="1" t="s">
        <v>15</v>
      </c>
    </row>
    <row r="325" ht="15.75" customHeight="1">
      <c r="A325" s="1">
        <v>324.0</v>
      </c>
      <c r="B325" s="1">
        <v>10.0</v>
      </c>
      <c r="C325" s="4" t="s">
        <v>33</v>
      </c>
      <c r="D325" s="5" t="str">
        <f>IFERROR(__xludf.DUMMYFUNCTION("LET(
  words, TRANSPOSE(SPLIT($C325,""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)"),"tayo magcoconceptualize mismo ng dance")</f>
        <v>tayo magcoconceptualize mismo ng dance</v>
      </c>
      <c r="E325" s="3" t="str">
        <f>IFERROR(__xludf.DUMMYFUNCTION("INDEX(SPLIT($C325,"" ""), ROW()-ROW($E$319)+1)
"),"mismo")</f>
        <v>mismo</v>
      </c>
      <c r="F325" s="30" t="s">
        <v>16</v>
      </c>
      <c r="G325" s="2"/>
      <c r="H325" s="1" t="s">
        <v>0</v>
      </c>
      <c r="I325" s="2"/>
      <c r="J325" s="2"/>
      <c r="K325" s="1" t="s">
        <v>15</v>
      </c>
    </row>
    <row r="326" ht="15.75" customHeight="1">
      <c r="A326" s="1">
        <v>325.0</v>
      </c>
      <c r="B326" s="1">
        <v>10.0</v>
      </c>
      <c r="C326" s="4" t="s">
        <v>33</v>
      </c>
      <c r="D326" s="5" t="str">
        <f>IFERROR(__xludf.DUMMYFUNCTION("LET(
  words, TRANSPOSE(SPLIT($C326,""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)"),"magcoconceptualize mismo ng dance steps")</f>
        <v>magcoconceptualize mismo ng dance steps</v>
      </c>
      <c r="E326" s="3" t="str">
        <f>IFERROR(__xludf.DUMMYFUNCTION("INDEX(SPLIT($C326,"" ""), ROW()-ROW($E$319)+1)
"),"ng")</f>
        <v>ng</v>
      </c>
      <c r="F326" s="30" t="s">
        <v>16</v>
      </c>
      <c r="G326" s="2"/>
      <c r="H326" s="1" t="s">
        <v>0</v>
      </c>
      <c r="I326" s="2"/>
      <c r="J326" s="2"/>
      <c r="K326" s="1" t="s">
        <v>15</v>
      </c>
    </row>
    <row r="327" ht="15.75" customHeight="1">
      <c r="A327" s="1">
        <v>326.0</v>
      </c>
      <c r="B327" s="1">
        <v>10.0</v>
      </c>
      <c r="C327" s="4" t="s">
        <v>33</v>
      </c>
      <c r="D327" s="5" t="str">
        <f>IFERROR(__xludf.DUMMYFUNCTION("LET(
  words, TRANSPOSE(SPLIT($C327,""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)"),"mismo ng dance steps ?")</f>
        <v>mismo ng dance steps ?</v>
      </c>
      <c r="E327" s="3" t="str">
        <f>IFERROR(__xludf.DUMMYFUNCTION("INDEX(SPLIT($C327,"" ""), ROW()-ROW($E$319)+1)
"),"dance")</f>
        <v>dance</v>
      </c>
      <c r="F327" s="30" t="s">
        <v>18</v>
      </c>
      <c r="G327" s="2"/>
      <c r="H327" s="1" t="s">
        <v>0</v>
      </c>
      <c r="I327" s="2"/>
      <c r="J327" s="2"/>
      <c r="K327" s="1" t="s">
        <v>15</v>
      </c>
    </row>
    <row r="328" ht="15.75" customHeight="1">
      <c r="A328" s="1">
        <v>327.0</v>
      </c>
      <c r="B328" s="1">
        <v>10.0</v>
      </c>
      <c r="C328" s="4" t="s">
        <v>33</v>
      </c>
      <c r="D328" s="5" t="str">
        <f>IFERROR(__xludf.DUMMYFUNCTION("LET(
  words, TRANSPOSE(SPLIT($C328,""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)"),"ng dance steps ? kung")</f>
        <v>ng dance steps ? kung</v>
      </c>
      <c r="E328" s="3" t="str">
        <f>IFERROR(__xludf.DUMMYFUNCTION("INDEX(SPLIT($C328,"" ""), ROW()-ROW($E$319)+1)
"),"steps")</f>
        <v>steps</v>
      </c>
      <c r="F328" s="30" t="s">
        <v>18</v>
      </c>
      <c r="G328" s="2"/>
      <c r="H328" s="1" t="s">
        <v>0</v>
      </c>
      <c r="I328" s="2"/>
      <c r="J328" s="2"/>
      <c r="K328" s="1" t="s">
        <v>15</v>
      </c>
    </row>
    <row r="329" ht="15.75" customHeight="1">
      <c r="A329" s="1">
        <v>328.0</v>
      </c>
      <c r="B329" s="1">
        <v>10.0</v>
      </c>
      <c r="C329" s="4" t="s">
        <v>33</v>
      </c>
      <c r="D329" s="5" t="str">
        <f>IFERROR(__xludf.DUMMYFUNCTION("LET(
  words, TRANSPOSE(SPLIT($C329,""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)"),"dance steps ? kung tinapos")</f>
        <v>dance steps ? kung tinapos</v>
      </c>
      <c r="E329" s="3" t="str">
        <f>IFERROR(__xludf.DUMMYFUNCTION("INDEX(SPLIT($C329,"" ""), ROW()-ROW($E$319)+1)
"),"?")</f>
        <v>?</v>
      </c>
      <c r="F329" s="30" t="s">
        <v>17</v>
      </c>
      <c r="G329" s="2"/>
      <c r="H329" s="1" t="s">
        <v>0</v>
      </c>
      <c r="I329" s="2"/>
      <c r="J329" s="2"/>
      <c r="K329" s="1" t="s">
        <v>15</v>
      </c>
    </row>
    <row r="330" ht="15.75" customHeight="1">
      <c r="A330" s="1">
        <v>329.0</v>
      </c>
      <c r="B330" s="1">
        <v>10.0</v>
      </c>
      <c r="C330" s="4" t="s">
        <v>33</v>
      </c>
      <c r="D330" s="5" t="str">
        <f>IFERROR(__xludf.DUMMYFUNCTION("LET(
  words, TRANSPOSE(SPLIT($C330,""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)"),"steps ? kung tinapos na")</f>
        <v>steps ? kung tinapos na</v>
      </c>
      <c r="E330" s="3" t="str">
        <f>IFERROR(__xludf.DUMMYFUNCTION("INDEX(SPLIT($C330,"" ""), ROW()-ROW($E$319)+1)
"),"kung")</f>
        <v>kung</v>
      </c>
      <c r="F330" s="30" t="s">
        <v>16</v>
      </c>
      <c r="G330" s="2"/>
      <c r="H330" s="1" t="s">
        <v>0</v>
      </c>
      <c r="I330" s="2"/>
      <c r="J330" s="2"/>
      <c r="K330" s="1" t="s">
        <v>15</v>
      </c>
    </row>
    <row r="331" ht="15.75" customHeight="1">
      <c r="A331" s="1">
        <v>330.0</v>
      </c>
      <c r="B331" s="1">
        <v>10.0</v>
      </c>
      <c r="C331" s="4" t="s">
        <v>33</v>
      </c>
      <c r="D331" s="5" t="str">
        <f>IFERROR(__xludf.DUMMYFUNCTION("LET(
  words, TRANSPOSE(SPLIT($C331,""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)"),"? kung tinapos na natin")</f>
        <v>? kung tinapos na natin</v>
      </c>
      <c r="E331" s="3" t="str">
        <f>IFERROR(__xludf.DUMMYFUNCTION("INDEX(SPLIT($C331,"" ""), ROW()-ROW($E$319)+1)
"),"tinapos")</f>
        <v>tinapos</v>
      </c>
      <c r="F331" s="30" t="s">
        <v>16</v>
      </c>
      <c r="G331" s="2"/>
      <c r="H331" s="1" t="s">
        <v>0</v>
      </c>
      <c r="I331" s="2"/>
      <c r="J331" s="2"/>
      <c r="K331" s="1" t="s">
        <v>15</v>
      </c>
    </row>
    <row r="332" ht="15.75" customHeight="1">
      <c r="A332" s="1">
        <v>331.0</v>
      </c>
      <c r="B332" s="1">
        <v>10.0</v>
      </c>
      <c r="C332" s="4" t="s">
        <v>33</v>
      </c>
      <c r="D332" s="5" t="str">
        <f>IFERROR(__xludf.DUMMYFUNCTION("LET(
  words, TRANSPOSE(SPLIT($C332,""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)"),"kung tinapos na natin yung")</f>
        <v>kung tinapos na natin yung</v>
      </c>
      <c r="E332" s="3" t="str">
        <f>IFERROR(__xludf.DUMMYFUNCTION("INDEX(SPLIT($C332,"" ""), ROW()-ROW($E$319)+1)
"),"na")</f>
        <v>na</v>
      </c>
      <c r="F332" s="30" t="s">
        <v>16</v>
      </c>
      <c r="G332" s="2"/>
      <c r="H332" s="1" t="s">
        <v>0</v>
      </c>
      <c r="I332" s="2"/>
      <c r="J332" s="2"/>
      <c r="K332" s="1" t="s">
        <v>15</v>
      </c>
    </row>
    <row r="333" ht="15.75" customHeight="1">
      <c r="A333" s="1">
        <v>332.0</v>
      </c>
      <c r="B333" s="1">
        <v>10.0</v>
      </c>
      <c r="C333" s="4" t="s">
        <v>33</v>
      </c>
      <c r="D333" s="5" t="str">
        <f>IFERROR(__xludf.DUMMYFUNCTION("LET(
  words, TRANSPOSE(SPLIT($C333,""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)"),"tinapos na natin yung song")</f>
        <v>tinapos na natin yung song</v>
      </c>
      <c r="E333" s="3" t="str">
        <f>IFERROR(__xludf.DUMMYFUNCTION("INDEX(SPLIT($C333,"" ""), ROW()-ROW($E$319)+1)
"),"natin")</f>
        <v>natin</v>
      </c>
      <c r="F333" s="30" t="s">
        <v>16</v>
      </c>
      <c r="G333" s="2"/>
      <c r="H333" s="1" t="s">
        <v>0</v>
      </c>
      <c r="I333" s="2"/>
      <c r="J333" s="2"/>
      <c r="K333" s="1" t="s">
        <v>15</v>
      </c>
    </row>
    <row r="334" ht="15.75" customHeight="1">
      <c r="A334" s="1">
        <v>333.0</v>
      </c>
      <c r="B334" s="1">
        <v>10.0</v>
      </c>
      <c r="C334" s="4" t="s">
        <v>33</v>
      </c>
      <c r="D334" s="5" t="str">
        <f>IFERROR(__xludf.DUMMYFUNCTION("LET(
  words, TRANSPOSE(SPLIT($C334,""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natin yung song then")</f>
        <v>na natin yung song then</v>
      </c>
      <c r="E334" s="3" t="str">
        <f>IFERROR(__xludf.DUMMYFUNCTION("INDEX(SPLIT($C334,"" ""), ROW()-ROW($E$319)+1)
"),"yung")</f>
        <v>yung</v>
      </c>
      <c r="F334" s="30" t="s">
        <v>16</v>
      </c>
      <c r="G334" s="2"/>
      <c r="H334" s="1" t="s">
        <v>0</v>
      </c>
      <c r="I334" s="2"/>
      <c r="J334" s="2"/>
      <c r="K334" s="1" t="s">
        <v>15</v>
      </c>
    </row>
    <row r="335" ht="15.75" customHeight="1">
      <c r="A335" s="1">
        <v>334.0</v>
      </c>
      <c r="B335" s="1">
        <v>10.0</v>
      </c>
      <c r="C335" s="4" t="s">
        <v>33</v>
      </c>
      <c r="D335" s="5" t="str">
        <f>IFERROR(__xludf.DUMMYFUNCTION("LET(
  words, TRANSPOSE(SPLIT($C335,""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)"),"natin yung song then we'll")</f>
        <v>natin yung song then we'll</v>
      </c>
      <c r="E335" s="3" t="str">
        <f>IFERROR(__xludf.DUMMYFUNCTION("INDEX(SPLIT($C335,"" ""), ROW()-ROW($E$319)+1)
"),"song")</f>
        <v>song</v>
      </c>
      <c r="F335" s="30" t="s">
        <v>18</v>
      </c>
      <c r="G335" s="2"/>
      <c r="H335" s="1" t="s">
        <v>0</v>
      </c>
      <c r="I335" s="2"/>
      <c r="J335" s="2"/>
      <c r="K335" s="1" t="s">
        <v>15</v>
      </c>
    </row>
    <row r="336" ht="15.75" customHeight="1">
      <c r="A336" s="1">
        <v>335.0</v>
      </c>
      <c r="B336" s="1">
        <v>10.0</v>
      </c>
      <c r="C336" s="4" t="s">
        <v>33</v>
      </c>
      <c r="D336" s="5" t="str">
        <f>IFERROR(__xludf.DUMMYFUNCTION("LET(
  words, TRANSPOSE(SPLIT($C336,""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)"),"yung song then we'll playy")</f>
        <v>yung song then we'll playy</v>
      </c>
      <c r="E336" s="3" t="str">
        <f>IFERROR(__xludf.DUMMYFUNCTION("INDEX(SPLIT($C336,"" ""), ROW()-ROW($E$319)+1)
"),"then")</f>
        <v>then</v>
      </c>
      <c r="F336" s="30" t="s">
        <v>18</v>
      </c>
      <c r="G336" s="2"/>
      <c r="H336" s="1" t="s">
        <v>0</v>
      </c>
      <c r="I336" s="2"/>
      <c r="J336" s="2"/>
      <c r="K336" s="1" t="s">
        <v>15</v>
      </c>
    </row>
    <row r="337" ht="15.75" customHeight="1">
      <c r="A337" s="1">
        <v>336.0</v>
      </c>
      <c r="B337" s="1">
        <v>10.0</v>
      </c>
      <c r="C337" s="4" t="s">
        <v>33</v>
      </c>
      <c r="D337" s="5" t="str">
        <f>IFERROR(__xludf.DUMMYFUNCTION("LET(
  words, TRANSPOSE(SPLIT($C337,""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)"),"song then we'll playy ,")</f>
        <v>song then we'll playy ,</v>
      </c>
      <c r="E337" s="3" t="str">
        <f>IFERROR(__xludf.DUMMYFUNCTION("INDEX(SPLIT($C337,"" ""), ROW()-ROW($E$319)+1)
"),"we'll")</f>
        <v>we'll</v>
      </c>
      <c r="F337" s="30" t="s">
        <v>18</v>
      </c>
      <c r="G337" s="1" t="s">
        <v>19</v>
      </c>
      <c r="H337" s="1" t="s">
        <v>0</v>
      </c>
      <c r="I337" s="2"/>
      <c r="J337" s="2"/>
      <c r="K337" s="1" t="s">
        <v>15</v>
      </c>
    </row>
    <row r="338" ht="15.75" customHeight="1">
      <c r="A338" s="1">
        <v>337.0</v>
      </c>
      <c r="B338" s="1">
        <v>10.0</v>
      </c>
      <c r="C338" s="4" t="s">
        <v>33</v>
      </c>
      <c r="D338" s="5" t="str">
        <f>IFERROR(__xludf.DUMMYFUNCTION("LET(
  words, TRANSPOSE(SPLIT($C338,""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)"),"then we'll playy , wait")</f>
        <v>then we'll playy , wait</v>
      </c>
      <c r="E338" s="3" t="str">
        <f>IFERROR(__xludf.DUMMYFUNCTION("INDEX(SPLIT($C338,"" ""), ROW()-ROW($E$319)+1)
"),"playy")</f>
        <v>playy</v>
      </c>
      <c r="F338" s="30" t="s">
        <v>18</v>
      </c>
      <c r="G338" s="2"/>
      <c r="H338" s="1" t="s">
        <v>0</v>
      </c>
      <c r="I338" s="2"/>
      <c r="J338" s="2"/>
      <c r="K338" s="1" t="s">
        <v>15</v>
      </c>
    </row>
    <row r="339" ht="15.75" customHeight="1">
      <c r="A339" s="1">
        <v>338.0</v>
      </c>
      <c r="B339" s="1">
        <v>10.0</v>
      </c>
      <c r="C339" s="4" t="s">
        <v>33</v>
      </c>
      <c r="D339" s="5" t="str">
        <f>IFERROR(__xludf.DUMMYFUNCTION("LET(
  words, TRANSPOSE(SPLIT($C339,""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)"),"we'll playy , wait diba")</f>
        <v>we'll playy , wait diba</v>
      </c>
      <c r="E339" s="3" t="str">
        <f>IFERROR(__xludf.DUMMYFUNCTION("INDEX(SPLIT($C339,"" ""), ROW()-ROW($E$319)+1)
"),",")</f>
        <v>,</v>
      </c>
      <c r="F339" s="30" t="s">
        <v>17</v>
      </c>
      <c r="G339" s="2"/>
      <c r="H339" s="1" t="s">
        <v>0</v>
      </c>
      <c r="I339" s="2"/>
      <c r="J339" s="2"/>
      <c r="K339" s="1" t="s">
        <v>15</v>
      </c>
    </row>
    <row r="340" ht="15.75" customHeight="1">
      <c r="A340" s="1">
        <v>339.0</v>
      </c>
      <c r="B340" s="1">
        <v>10.0</v>
      </c>
      <c r="C340" s="4" t="s">
        <v>33</v>
      </c>
      <c r="D340" s="5" t="str">
        <f>IFERROR(__xludf.DUMMYFUNCTION("LET(
  words, TRANSPOSE(SPLIT($C340,""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)"),"playy , wait diba gagawin")</f>
        <v>playy , wait diba gagawin</v>
      </c>
      <c r="E340" s="3" t="str">
        <f>IFERROR(__xludf.DUMMYFUNCTION("INDEX(SPLIT($C340,"" ""), ROW()-ROW($E$319)+1)
"),"wait")</f>
        <v>wait</v>
      </c>
      <c r="F340" s="30" t="s">
        <v>18</v>
      </c>
      <c r="G340" s="2"/>
      <c r="H340" s="1" t="s">
        <v>0</v>
      </c>
      <c r="I340" s="2"/>
      <c r="J340" s="2"/>
      <c r="K340" s="1" t="s">
        <v>15</v>
      </c>
    </row>
    <row r="341" ht="15.75" customHeight="1">
      <c r="A341" s="1">
        <v>340.0</v>
      </c>
      <c r="B341" s="1">
        <v>10.0</v>
      </c>
      <c r="C341" s="4" t="s">
        <v>33</v>
      </c>
      <c r="D341" s="5" t="str">
        <f>IFERROR(__xludf.DUMMYFUNCTION("LET(
  words, TRANSPOSE(SPLIT($C341,""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wait diba gagawin lang")</f>
        <v>, wait diba gagawin lang</v>
      </c>
      <c r="E341" s="3" t="str">
        <f>IFERROR(__xludf.DUMMYFUNCTION("INDEX(SPLIT($C341,"" ""), ROW()-ROW($E$319)+1)
"),"diba")</f>
        <v>diba</v>
      </c>
      <c r="F341" s="30" t="s">
        <v>16</v>
      </c>
      <c r="G341" s="2"/>
      <c r="H341" s="1" t="s">
        <v>0</v>
      </c>
      <c r="I341" s="2"/>
      <c r="J341" s="2"/>
      <c r="K341" s="1" t="s">
        <v>15</v>
      </c>
    </row>
    <row r="342" ht="15.75" customHeight="1">
      <c r="A342" s="1">
        <v>341.0</v>
      </c>
      <c r="B342" s="1">
        <v>10.0</v>
      </c>
      <c r="C342" s="4" t="s">
        <v>33</v>
      </c>
      <c r="D342" s="5" t="str">
        <f>IFERROR(__xludf.DUMMYFUNCTION("LET(
  words, TRANSPOSE(SPLIT($C342,""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)"),"wait diba gagawin lang natin")</f>
        <v>wait diba gagawin lang natin</v>
      </c>
      <c r="E342" s="3" t="str">
        <f>IFERROR(__xludf.DUMMYFUNCTION("INDEX(SPLIT($C342,"" ""), ROW()-ROW($E$319)+1)
"),"gagawin")</f>
        <v>gagawin</v>
      </c>
      <c r="F342" s="30" t="s">
        <v>16</v>
      </c>
      <c r="G342" s="2"/>
      <c r="H342" s="1" t="s">
        <v>0</v>
      </c>
      <c r="I342" s="2"/>
      <c r="J342" s="2"/>
      <c r="K342" s="1" t="s">
        <v>15</v>
      </c>
    </row>
    <row r="343" ht="15.75" customHeight="1">
      <c r="A343" s="1">
        <v>342.0</v>
      </c>
      <c r="B343" s="1">
        <v>10.0</v>
      </c>
      <c r="C343" s="4" t="s">
        <v>33</v>
      </c>
      <c r="D343" s="5" t="str">
        <f>IFERROR(__xludf.DUMMYFUNCTION("LET(
  words, TRANSPOSE(SPLIT($C343,""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)"),"diba gagawin lang natin yung")</f>
        <v>diba gagawin lang natin yung</v>
      </c>
      <c r="E343" s="3" t="str">
        <f>IFERROR(__xludf.DUMMYFUNCTION("INDEX(SPLIT($C343,"" ""), ROW()-ROW($E$319)+1)
"),"lang")</f>
        <v>lang</v>
      </c>
      <c r="F343" s="30" t="s">
        <v>16</v>
      </c>
      <c r="G343" s="2"/>
      <c r="H343" s="1" t="s">
        <v>0</v>
      </c>
      <c r="I343" s="2"/>
      <c r="J343" s="2"/>
      <c r="K343" s="1" t="s">
        <v>15</v>
      </c>
    </row>
    <row r="344" ht="15.75" customHeight="1">
      <c r="A344" s="1">
        <v>343.0</v>
      </c>
      <c r="B344" s="1">
        <v>10.0</v>
      </c>
      <c r="C344" s="4" t="s">
        <v>33</v>
      </c>
      <c r="D344" s="5" t="str">
        <f>IFERROR(__xludf.DUMMYFUNCTION("LET(
  words, TRANSPOSE(SPLIT($C344,""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)"),"gagawin lang natin yung huling")</f>
        <v>gagawin lang natin yung huling</v>
      </c>
      <c r="E344" s="3" t="str">
        <f>IFERROR(__xludf.DUMMYFUNCTION("INDEX(SPLIT($C344,"" ""), ROW()-ROW($E$319)+1)
"),"natin")</f>
        <v>natin</v>
      </c>
      <c r="F344" s="30" t="s">
        <v>16</v>
      </c>
      <c r="G344" s="2"/>
      <c r="H344" s="1" t="s">
        <v>0</v>
      </c>
      <c r="I344" s="2"/>
      <c r="J344" s="2"/>
      <c r="K344" s="1" t="s">
        <v>15</v>
      </c>
    </row>
    <row r="345" ht="15.75" customHeight="1">
      <c r="A345" s="1">
        <v>344.0</v>
      </c>
      <c r="B345" s="1">
        <v>10.0</v>
      </c>
      <c r="C345" s="4" t="s">
        <v>33</v>
      </c>
      <c r="D345" s="5" t="str">
        <f>IFERROR(__xludf.DUMMYFUNCTION("LET(
  words, TRANSPOSE(SPLIT($C345,""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)"),"lang natin yung huling routine")</f>
        <v>lang natin yung huling routine</v>
      </c>
      <c r="E345" s="3" t="str">
        <f>IFERROR(__xludf.DUMMYFUNCTION("INDEX(SPLIT($C345,"" ""), ROW()-ROW($E$319)+1)
"),"yung")</f>
        <v>yung</v>
      </c>
      <c r="F345" s="30" t="s">
        <v>16</v>
      </c>
      <c r="G345" s="2"/>
      <c r="H345" s="1" t="s">
        <v>0</v>
      </c>
      <c r="I345" s="2"/>
      <c r="J345" s="2"/>
      <c r="K345" s="1" t="s">
        <v>15</v>
      </c>
    </row>
    <row r="346" ht="15.75" customHeight="1">
      <c r="A346" s="1">
        <v>345.0</v>
      </c>
      <c r="B346" s="1">
        <v>10.0</v>
      </c>
      <c r="C346" s="4" t="s">
        <v>33</v>
      </c>
      <c r="D346" s="5" t="str">
        <f>IFERROR(__xludf.DUMMYFUNCTION("LET(
  words, TRANSPOSE(SPLIT($C346,""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)"),"natin yung huling routine ?")</f>
        <v>natin yung huling routine ?</v>
      </c>
      <c r="E346" s="3" t="str">
        <f>IFERROR(__xludf.DUMMYFUNCTION("INDEX(SPLIT($C346,"" ""), ROW()-ROW($E$319)+1)
"),"huling")</f>
        <v>huling</v>
      </c>
      <c r="F346" s="30" t="s">
        <v>16</v>
      </c>
      <c r="G346" s="2"/>
      <c r="H346" s="1" t="s">
        <v>0</v>
      </c>
      <c r="I346" s="2"/>
      <c r="J346" s="2"/>
      <c r="K346" s="1" t="s">
        <v>15</v>
      </c>
    </row>
    <row r="347" ht="15.75" customHeight="1">
      <c r="A347" s="1">
        <v>346.0</v>
      </c>
      <c r="B347" s="1">
        <v>10.0</v>
      </c>
      <c r="C347" s="4" t="s">
        <v>33</v>
      </c>
      <c r="D347" s="5" t="str">
        <f>IFERROR(__xludf.DUMMYFUNCTION("LET(
  words, TRANSPOSE(SPLIT($C347,""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)"),"yung huling routine ? masyado")</f>
        <v>yung huling routine ? masyado</v>
      </c>
      <c r="E347" s="3" t="str">
        <f>IFERROR(__xludf.DUMMYFUNCTION("INDEX(SPLIT($C347,"" ""), ROW()-ROW($E$319)+1)
"),"routine")</f>
        <v>routine</v>
      </c>
      <c r="F347" s="30" t="s">
        <v>18</v>
      </c>
      <c r="G347" s="2"/>
      <c r="H347" s="1" t="s">
        <v>0</v>
      </c>
      <c r="I347" s="2"/>
      <c r="J347" s="2"/>
      <c r="K347" s="1" t="s">
        <v>15</v>
      </c>
    </row>
    <row r="348" ht="15.75" customHeight="1">
      <c r="A348" s="1">
        <v>347.0</v>
      </c>
      <c r="B348" s="1">
        <v>10.0</v>
      </c>
      <c r="C348" s="4" t="s">
        <v>33</v>
      </c>
      <c r="D348" s="5" t="str">
        <f>IFERROR(__xludf.DUMMYFUNCTION("LET(
  words, TRANSPOSE(SPLIT($C348,""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)"),"huling routine ? masyado akong")</f>
        <v>huling routine ? masyado akong</v>
      </c>
      <c r="E348" s="3" t="str">
        <f>IFERROR(__xludf.DUMMYFUNCTION("INDEX(SPLIT($C348,"" ""), ROW()-ROW($E$319)+1)
"),"?")</f>
        <v>?</v>
      </c>
      <c r="F348" s="30" t="s">
        <v>17</v>
      </c>
      <c r="G348" s="2"/>
      <c r="H348" s="1" t="s">
        <v>0</v>
      </c>
      <c r="I348" s="2"/>
      <c r="J348" s="2"/>
      <c r="K348" s="1" t="s">
        <v>15</v>
      </c>
    </row>
    <row r="349" ht="15.75" customHeight="1">
      <c r="A349" s="1">
        <v>348.0</v>
      </c>
      <c r="B349" s="1">
        <v>10.0</v>
      </c>
      <c r="C349" s="4" t="s">
        <v>33</v>
      </c>
      <c r="D349" s="5" t="str">
        <f>IFERROR(__xludf.DUMMYFUNCTION("LET(
  words, TRANSPOSE(SPLIT($C349,""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)"),"routine ? masyado akong nadala")</f>
        <v>routine ? masyado akong nadala</v>
      </c>
      <c r="E349" s="3" t="str">
        <f>IFERROR(__xludf.DUMMYFUNCTION("INDEX(SPLIT($C349,"" ""), ROW()-ROW($E$319)+1)
"),"masyado")</f>
        <v>masyado</v>
      </c>
      <c r="F349" s="30" t="s">
        <v>16</v>
      </c>
      <c r="G349" s="2"/>
      <c r="H349" s="1" t="s">
        <v>0</v>
      </c>
      <c r="I349" s="2"/>
      <c r="J349" s="2"/>
      <c r="K349" s="1" t="s">
        <v>15</v>
      </c>
    </row>
    <row r="350" ht="15.75" customHeight="1">
      <c r="A350" s="1">
        <v>349.0</v>
      </c>
      <c r="B350" s="1">
        <v>10.0</v>
      </c>
      <c r="C350" s="4" t="s">
        <v>33</v>
      </c>
      <c r="D350" s="5" t="str">
        <f>IFERROR(__xludf.DUMMYFUNCTION("LET(
  words, TRANSPOSE(SPLIT($C350,""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)"),"? masyado akong nadala sa")</f>
        <v>? masyado akong nadala sa</v>
      </c>
      <c r="E350" s="3" t="str">
        <f>IFERROR(__xludf.DUMMYFUNCTION("INDEX(SPLIT($C350,"" ""), ROW()-ROW($E$319)+1)
"),"akong")</f>
        <v>akong</v>
      </c>
      <c r="F350" s="30" t="s">
        <v>16</v>
      </c>
      <c r="G350" s="2"/>
      <c r="H350" s="1" t="s">
        <v>0</v>
      </c>
      <c r="I350" s="2"/>
      <c r="J350" s="2"/>
      <c r="K350" s="1" t="s">
        <v>15</v>
      </c>
    </row>
    <row r="351" ht="15.75" customHeight="1">
      <c r="A351" s="1">
        <v>350.0</v>
      </c>
      <c r="B351" s="1">
        <v>10.0</v>
      </c>
      <c r="C351" s="4" t="s">
        <v>33</v>
      </c>
      <c r="D351" s="5" t="str">
        <f>IFERROR(__xludf.DUMMYFUNCTION("LET(
  words, TRANSPOSE(SPLIT($C351,""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)"),"masyado akong nadala sa pvz")</f>
        <v>masyado akong nadala sa pvz</v>
      </c>
      <c r="E351" s="3" t="str">
        <f>IFERROR(__xludf.DUMMYFUNCTION("INDEX(SPLIT($C351,"" ""), ROW()-ROW($E$319)+1)
"),"nadala")</f>
        <v>nadala</v>
      </c>
      <c r="F351" s="30" t="s">
        <v>16</v>
      </c>
      <c r="G351" s="2"/>
      <c r="H351" s="1" t="s">
        <v>0</v>
      </c>
      <c r="I351" s="2"/>
      <c r="J351" s="2"/>
      <c r="K351" s="1" t="s">
        <v>15</v>
      </c>
    </row>
    <row r="352" ht="15.75" customHeight="1">
      <c r="A352" s="1">
        <v>351.0</v>
      </c>
      <c r="B352" s="1">
        <v>10.0</v>
      </c>
      <c r="C352" s="4" t="s">
        <v>33</v>
      </c>
      <c r="D352" s="5" t="str">
        <f>IFERROR(__xludf.DUMMYFUNCTION("LET(
  words, TRANSPOSE(SPLIT($C352,""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)"),"akong nadala sa pvz HAHSDHA")</f>
        <v>akong nadala sa pvz HAHSDHA</v>
      </c>
      <c r="E352" s="3" t="str">
        <f>IFERROR(__xludf.DUMMYFUNCTION("INDEX(SPLIT($C352,"" ""), ROW()-ROW($E$319)+1)
"),"sa")</f>
        <v>sa</v>
      </c>
      <c r="F352" s="30" t="s">
        <v>16</v>
      </c>
      <c r="G352" s="2"/>
      <c r="H352" s="1" t="s">
        <v>0</v>
      </c>
      <c r="I352" s="2"/>
      <c r="J352" s="2"/>
      <c r="K352" s="1" t="s">
        <v>15</v>
      </c>
    </row>
    <row r="353" ht="15.75" customHeight="1">
      <c r="A353" s="1">
        <v>352.0</v>
      </c>
      <c r="B353" s="1">
        <v>10.0</v>
      </c>
      <c r="C353" s="4" t="s">
        <v>33</v>
      </c>
      <c r="D353" s="5" t="str">
        <f>IFERROR(__xludf.DUMMYFUNCTION("LET(
  words, TRANSPOSE(SPLIT($C353,""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)"),"nadala sa pvz HAHSDHA")</f>
        <v>nadala sa pvz HAHSDHA</v>
      </c>
      <c r="E353" s="3" t="str">
        <f>IFERROR(__xludf.DUMMYFUNCTION("INDEX(SPLIT($C353,"" ""), ROW()-ROW($E$319)+1)
"),"pvz")</f>
        <v>pvz</v>
      </c>
      <c r="F353" s="30" t="s">
        <v>18</v>
      </c>
      <c r="G353" s="1" t="s">
        <v>31</v>
      </c>
      <c r="H353" s="1" t="s">
        <v>0</v>
      </c>
      <c r="I353" s="2"/>
      <c r="J353" s="2"/>
      <c r="K353" s="1" t="s">
        <v>15</v>
      </c>
    </row>
    <row r="354" ht="15.75" customHeight="1">
      <c r="A354" s="10">
        <v>353.0</v>
      </c>
      <c r="B354" s="10">
        <v>10.0</v>
      </c>
      <c r="C354" s="7" t="s">
        <v>33</v>
      </c>
      <c r="D354" s="8" t="str">
        <f>IFERROR(__xludf.DUMMYFUNCTION("LET(
  words, TRANSPOSE(SPLIT($C354,"" "")),
  n, ROWS(words),
  i, ROW() - ROW($D$319)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pvz HAHSDHA")</f>
        <v>sa pvz HAHSDHA</v>
      </c>
      <c r="E354" s="9" t="str">
        <f>IFERROR(__xludf.DUMMYFUNCTION("INDEX(SPLIT($C354,"" ""), ROW()-ROW($E$319)+1)
"),"HAHSDHA")</f>
        <v>HAHSDHA</v>
      </c>
      <c r="F354" s="32" t="s">
        <v>13</v>
      </c>
      <c r="G354" s="10" t="s">
        <v>14</v>
      </c>
      <c r="H354" s="10" t="s">
        <v>0</v>
      </c>
      <c r="I354" s="6"/>
      <c r="J354" s="6"/>
      <c r="K354" s="10" t="s">
        <v>15</v>
      </c>
      <c r="L354" s="6"/>
    </row>
    <row r="355" ht="15.75" customHeight="1">
      <c r="A355" s="1">
        <v>354.0</v>
      </c>
      <c r="B355" s="1">
        <v>11.0</v>
      </c>
      <c r="C355" s="4" t="s">
        <v>34</v>
      </c>
      <c r="D355" s="5" t="str">
        <f>IFERROR(__xludf.DUMMYFUNCTION("LET(
  words, TRANSPOSE(SPLIT($C355,""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)"),"how are you")</f>
        <v>how are you</v>
      </c>
      <c r="E355" s="3" t="str">
        <f>IFERROR(__xludf.DUMMYFUNCTION("INDEX(SPLIT($C355,"" ""), ROW()-ROW($E$355)+1)
"),"how")</f>
        <v>how</v>
      </c>
      <c r="F355" s="30" t="s">
        <v>18</v>
      </c>
      <c r="G355" s="2"/>
      <c r="H355" s="1" t="s">
        <v>0</v>
      </c>
      <c r="I355" s="2"/>
      <c r="J355" s="2"/>
      <c r="K355" s="1" t="s">
        <v>15</v>
      </c>
    </row>
    <row r="356" ht="15.75" customHeight="1">
      <c r="A356" s="1">
        <v>355.0</v>
      </c>
      <c r="B356" s="1">
        <v>11.0</v>
      </c>
      <c r="C356" s="4" t="s">
        <v>34</v>
      </c>
      <c r="D356" s="5" t="str">
        <f>IFERROR(__xludf.DUMMYFUNCTION("LET(
  words, TRANSPOSE(SPLIT($C356,""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)"),"how are you guys")</f>
        <v>how are you guys</v>
      </c>
      <c r="E356" s="3" t="str">
        <f>IFERROR(__xludf.DUMMYFUNCTION("INDEX(SPLIT($C356,"" ""), ROW()-ROW($E$355)+1)
"),"are")</f>
        <v>are</v>
      </c>
      <c r="F356" s="30" t="s">
        <v>18</v>
      </c>
      <c r="G356" s="2"/>
      <c r="H356" s="1" t="s">
        <v>0</v>
      </c>
      <c r="I356" s="2"/>
      <c r="J356" s="2"/>
      <c r="K356" s="1" t="s">
        <v>15</v>
      </c>
    </row>
    <row r="357" ht="15.75" customHeight="1">
      <c r="A357" s="1">
        <v>356.0</v>
      </c>
      <c r="B357" s="1">
        <v>11.0</v>
      </c>
      <c r="C357" s="4" t="s">
        <v>34</v>
      </c>
      <c r="D357" s="5" t="str">
        <f>IFERROR(__xludf.DUMMYFUNCTION("LET(
  words, TRANSPOSE(SPLIT($C357,""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)"),"how are you guys gon")</f>
        <v>how are you guys gon</v>
      </c>
      <c r="E357" s="3" t="str">
        <f>IFERROR(__xludf.DUMMYFUNCTION("INDEX(SPLIT($C357,"" ""), ROW()-ROW($E$355)+1)
"),"you")</f>
        <v>you</v>
      </c>
      <c r="F357" s="30" t="s">
        <v>18</v>
      </c>
      <c r="G357" s="2"/>
      <c r="H357" s="1" t="s">
        <v>0</v>
      </c>
      <c r="I357" s="2"/>
      <c r="J357" s="2"/>
      <c r="K357" s="1" t="s">
        <v>15</v>
      </c>
    </row>
    <row r="358" ht="15.75" customHeight="1">
      <c r="A358" s="1">
        <v>357.0</v>
      </c>
      <c r="B358" s="1">
        <v>11.0</v>
      </c>
      <c r="C358" s="4" t="s">
        <v>34</v>
      </c>
      <c r="D358" s="5" t="str">
        <f>IFERROR(__xludf.DUMMYFUNCTION("LET(
  words, TRANSPOSE(SPLIT($C358,""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)"),"are you guys gon train")</f>
        <v>are you guys gon train</v>
      </c>
      <c r="E358" s="3" t="str">
        <f>IFERROR(__xludf.DUMMYFUNCTION("INDEX(SPLIT($C358,"" ""), ROW()-ROW($E$355)+1)
"),"guys")</f>
        <v>guys</v>
      </c>
      <c r="F358" s="30" t="s">
        <v>18</v>
      </c>
      <c r="G358" s="2"/>
      <c r="H358" s="1" t="s">
        <v>0</v>
      </c>
      <c r="I358" s="2"/>
      <c r="J358" s="2"/>
      <c r="K358" s="1" t="s">
        <v>15</v>
      </c>
    </row>
    <row r="359" ht="15.75" customHeight="1">
      <c r="A359" s="1">
        <v>358.0</v>
      </c>
      <c r="B359" s="1">
        <v>11.0</v>
      </c>
      <c r="C359" s="4" t="s">
        <v>34</v>
      </c>
      <c r="D359" s="5" t="str">
        <f>IFERROR(__xludf.DUMMYFUNCTION("LET(
  words, TRANSPOSE(SPLIT($C359,""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)"),"you guys gon train for")</f>
        <v>you guys gon train for</v>
      </c>
      <c r="E359" s="3" t="str">
        <f>IFERROR(__xludf.DUMMYFUNCTION("INDEX(SPLIT($C359,"" ""), ROW()-ROW($E$355)+1)
"),"gon")</f>
        <v>gon</v>
      </c>
      <c r="F359" s="30" t="s">
        <v>18</v>
      </c>
      <c r="G359" s="1" t="s">
        <v>19</v>
      </c>
      <c r="H359" s="1" t="s">
        <v>0</v>
      </c>
      <c r="I359" s="2"/>
      <c r="J359" s="2"/>
      <c r="K359" s="1" t="s">
        <v>15</v>
      </c>
    </row>
    <row r="360" ht="15.75" customHeight="1">
      <c r="A360" s="1">
        <v>359.0</v>
      </c>
      <c r="B360" s="1">
        <v>11.0</v>
      </c>
      <c r="C360" s="4" t="s">
        <v>34</v>
      </c>
      <c r="D360" s="5" t="str">
        <f>IFERROR(__xludf.DUMMYFUNCTION("LET(
  words, TRANSPOSE(SPLIT($C360,""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)"),"guys gon train for this")</f>
        <v>guys gon train for this</v>
      </c>
      <c r="E360" s="3" t="str">
        <f>IFERROR(__xludf.DUMMYFUNCTION("INDEX(SPLIT($C360,"" ""), ROW()-ROW($E$355)+1)
"),"train")</f>
        <v>train</v>
      </c>
      <c r="F360" s="30" t="s">
        <v>18</v>
      </c>
      <c r="G360" s="2"/>
      <c r="H360" s="1" t="s">
        <v>0</v>
      </c>
      <c r="I360" s="2"/>
      <c r="J360" s="2"/>
      <c r="K360" s="1" t="s">
        <v>15</v>
      </c>
    </row>
    <row r="361" ht="15.75" customHeight="1">
      <c r="A361" s="1">
        <v>360.0</v>
      </c>
      <c r="B361" s="1">
        <v>11.0</v>
      </c>
      <c r="C361" s="4" t="s">
        <v>34</v>
      </c>
      <c r="D361" s="5" t="str">
        <f>IFERROR(__xludf.DUMMYFUNCTION("LET(
  words, TRANSPOSE(SPLIT($C361,""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)"),"gon train for this ,")</f>
        <v>gon train for this ,</v>
      </c>
      <c r="E361" s="3" t="str">
        <f>IFERROR(__xludf.DUMMYFUNCTION("INDEX(SPLIT($C361,"" ""), ROW()-ROW($E$355)+1)
"),"for")</f>
        <v>for</v>
      </c>
      <c r="F361" s="30" t="s">
        <v>18</v>
      </c>
      <c r="G361" s="2"/>
      <c r="H361" s="1" t="s">
        <v>0</v>
      </c>
      <c r="I361" s="2"/>
      <c r="J361" s="2"/>
      <c r="K361" s="1" t="s">
        <v>15</v>
      </c>
    </row>
    <row r="362" ht="15.75" customHeight="1">
      <c r="A362" s="1">
        <v>361.0</v>
      </c>
      <c r="B362" s="1">
        <v>11.0</v>
      </c>
      <c r="C362" s="4" t="s">
        <v>34</v>
      </c>
      <c r="D362" s="5" t="str">
        <f>IFERROR(__xludf.DUMMYFUNCTION("LET(
  words, TRANSPOSE(SPLIT($C362,""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)"),"train for this , do")</f>
        <v>train for this , do</v>
      </c>
      <c r="E362" s="3" t="str">
        <f>IFERROR(__xludf.DUMMYFUNCTION("INDEX(SPLIT($C362,"" ""), ROW()-ROW($E$355)+1)
"),"this")</f>
        <v>this</v>
      </c>
      <c r="F362" s="30" t="s">
        <v>18</v>
      </c>
      <c r="G362" s="2"/>
      <c r="H362" s="1" t="s">
        <v>0</v>
      </c>
      <c r="I362" s="2"/>
      <c r="J362" s="2"/>
      <c r="K362" s="1" t="s">
        <v>15</v>
      </c>
    </row>
    <row r="363" ht="15.75" customHeight="1">
      <c r="A363" s="1">
        <v>362.0</v>
      </c>
      <c r="B363" s="1">
        <v>11.0</v>
      </c>
      <c r="C363" s="4" t="s">
        <v>34</v>
      </c>
      <c r="D363" s="5" t="str">
        <f>IFERROR(__xludf.DUMMYFUNCTION("LET(
  words, TRANSPOSE(SPLIT($C363,""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)"),"for this , do u")</f>
        <v>for this , do u</v>
      </c>
      <c r="E363" s="3" t="str">
        <f>IFERROR(__xludf.DUMMYFUNCTION("INDEX(SPLIT($C363,"" ""), ROW()-ROW($E$355)+1)
"),",")</f>
        <v>,</v>
      </c>
      <c r="F363" s="30" t="s">
        <v>17</v>
      </c>
      <c r="G363" s="2"/>
      <c r="H363" s="1" t="s">
        <v>0</v>
      </c>
      <c r="I363" s="2"/>
      <c r="J363" s="2"/>
      <c r="K363" s="1" t="s">
        <v>15</v>
      </c>
    </row>
    <row r="364" ht="15.75" customHeight="1">
      <c r="A364" s="1">
        <v>363.0</v>
      </c>
      <c r="B364" s="1">
        <v>11.0</v>
      </c>
      <c r="C364" s="4" t="s">
        <v>34</v>
      </c>
      <c r="D364" s="5" t="str">
        <f>IFERROR(__xludf.DUMMYFUNCTION("LET(
  words, TRANSPOSE(SPLIT($C364,""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)"),"this , do u reckon")</f>
        <v>this , do u reckon</v>
      </c>
      <c r="E364" s="3" t="str">
        <f>IFERROR(__xludf.DUMMYFUNCTION("INDEX(SPLIT($C364,"" ""), ROW()-ROW($E$355)+1)
"),"do")</f>
        <v>do</v>
      </c>
      <c r="F364" s="30" t="s">
        <v>18</v>
      </c>
      <c r="G364" s="2"/>
      <c r="H364" s="1" t="s">
        <v>0</v>
      </c>
      <c r="I364" s="2"/>
      <c r="J364" s="2"/>
      <c r="K364" s="1" t="s">
        <v>15</v>
      </c>
    </row>
    <row r="365" ht="15.75" customHeight="1">
      <c r="A365" s="1">
        <v>364.0</v>
      </c>
      <c r="B365" s="1">
        <v>11.0</v>
      </c>
      <c r="C365" s="4" t="s">
        <v>34</v>
      </c>
      <c r="D365" s="5" t="str">
        <f>IFERROR(__xludf.DUMMYFUNCTION("LET(
  words, TRANSPOSE(SPLIT($C365,""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do u reckon we")</f>
        <v>, do u reckon we</v>
      </c>
      <c r="E365" s="3" t="str">
        <f>IFERROR(__xludf.DUMMYFUNCTION("INDEX(SPLIT($C365,"" ""), ROW()-ROW($E$355)+1)
"),"u")</f>
        <v>u</v>
      </c>
      <c r="F365" s="30" t="s">
        <v>18</v>
      </c>
      <c r="G365" s="1" t="s">
        <v>19</v>
      </c>
      <c r="H365" s="1" t="s">
        <v>0</v>
      </c>
      <c r="I365" s="2"/>
      <c r="J365" s="2"/>
      <c r="K365" s="1" t="s">
        <v>15</v>
      </c>
    </row>
    <row r="366" ht="15.75" customHeight="1">
      <c r="A366" s="1">
        <v>365.0</v>
      </c>
      <c r="B366" s="1">
        <v>11.0</v>
      </c>
      <c r="C366" s="4" t="s">
        <v>34</v>
      </c>
      <c r="D366" s="5" t="str">
        <f>IFERROR(__xludf.DUMMYFUNCTION("LET(
  words, TRANSPOSE(SPLIT($C366,""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)"),"do u reckon we can")</f>
        <v>do u reckon we can</v>
      </c>
      <c r="E366" s="3" t="str">
        <f>IFERROR(__xludf.DUMMYFUNCTION("INDEX(SPLIT($C366,"" ""), ROW()-ROW($E$355)+1)
"),"reckon")</f>
        <v>reckon</v>
      </c>
      <c r="F366" s="30" t="s">
        <v>18</v>
      </c>
      <c r="G366" s="2"/>
      <c r="H366" s="1" t="s">
        <v>0</v>
      </c>
      <c r="I366" s="2"/>
      <c r="J366" s="2"/>
      <c r="K366" s="1" t="s">
        <v>15</v>
      </c>
    </row>
    <row r="367" ht="15.75" customHeight="1">
      <c r="A367" s="1">
        <v>366.0</v>
      </c>
      <c r="B367" s="1">
        <v>11.0</v>
      </c>
      <c r="C367" s="4" t="s">
        <v>34</v>
      </c>
      <c r="D367" s="5" t="str">
        <f>IFERROR(__xludf.DUMMYFUNCTION("LET(
  words, TRANSPOSE(SPLIT($C367,""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)"),"u reckon we can borrow")</f>
        <v>u reckon we can borrow</v>
      </c>
      <c r="E367" s="3" t="str">
        <f>IFERROR(__xludf.DUMMYFUNCTION("INDEX(SPLIT($C367,"" ""), ROW()-ROW($E$355)+1)
"),"we")</f>
        <v>we</v>
      </c>
      <c r="F367" s="30" t="s">
        <v>18</v>
      </c>
      <c r="G367" s="2"/>
      <c r="H367" s="1" t="s">
        <v>0</v>
      </c>
      <c r="I367" s="2"/>
      <c r="J367" s="2"/>
      <c r="K367" s="1" t="s">
        <v>15</v>
      </c>
    </row>
    <row r="368" ht="15.75" customHeight="1">
      <c r="A368" s="1">
        <v>367.0</v>
      </c>
      <c r="B368" s="1">
        <v>11.0</v>
      </c>
      <c r="C368" s="4" t="s">
        <v>34</v>
      </c>
      <c r="D368" s="5" t="str">
        <f>IFERROR(__xludf.DUMMYFUNCTION("LET(
  words, TRANSPOSE(SPLIT($C368,""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)"),"reckon we can borrow rope")</f>
        <v>reckon we can borrow rope</v>
      </c>
      <c r="E368" s="3" t="str">
        <f>IFERROR(__xludf.DUMMYFUNCTION("INDEX(SPLIT($C368,"" ""), ROW()-ROW($E$355)+1)
"),"can")</f>
        <v>can</v>
      </c>
      <c r="F368" s="30" t="s">
        <v>18</v>
      </c>
      <c r="G368" s="2"/>
      <c r="H368" s="1" t="s">
        <v>0</v>
      </c>
      <c r="I368" s="2"/>
      <c r="J368" s="2"/>
      <c r="K368" s="1" t="s">
        <v>15</v>
      </c>
    </row>
    <row r="369" ht="15.75" customHeight="1">
      <c r="A369" s="1">
        <v>368.0</v>
      </c>
      <c r="B369" s="1">
        <v>11.0</v>
      </c>
      <c r="C369" s="4" t="s">
        <v>34</v>
      </c>
      <c r="D369" s="5" t="str">
        <f>IFERROR(__xludf.DUMMYFUNCTION("LET(
  words, TRANSPOSE(SPLIT($C369,""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)"),"we can borrow rope from")</f>
        <v>we can borrow rope from</v>
      </c>
      <c r="E369" s="3" t="str">
        <f>IFERROR(__xludf.DUMMYFUNCTION("INDEX(SPLIT($C369,"" ""), ROW()-ROW($E$355)+1)
"),"borrow")</f>
        <v>borrow</v>
      </c>
      <c r="F369" s="30" t="s">
        <v>18</v>
      </c>
      <c r="G369" s="2"/>
      <c r="H369" s="1" t="s">
        <v>0</v>
      </c>
      <c r="I369" s="2"/>
      <c r="J369" s="2"/>
      <c r="K369" s="1" t="s">
        <v>15</v>
      </c>
    </row>
    <row r="370" ht="15.75" customHeight="1">
      <c r="A370" s="1">
        <v>369.0</v>
      </c>
      <c r="B370" s="1">
        <v>11.0</v>
      </c>
      <c r="C370" s="4" t="s">
        <v>34</v>
      </c>
      <c r="D370" s="5" t="str">
        <f>IFERROR(__xludf.DUMMYFUNCTION("LET(
  words, TRANSPOSE(SPLIT($C370,""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)"),"can borrow rope from PE")</f>
        <v>can borrow rope from PE</v>
      </c>
      <c r="E370" s="3" t="str">
        <f>IFERROR(__xludf.DUMMYFUNCTION("INDEX(SPLIT($C370,"" ""), ROW()-ROW($E$355)+1)
"),"rope")</f>
        <v>rope</v>
      </c>
      <c r="F370" s="30" t="s">
        <v>18</v>
      </c>
      <c r="G370" s="2"/>
      <c r="H370" s="1" t="s">
        <v>0</v>
      </c>
      <c r="I370" s="2"/>
      <c r="J370" s="2"/>
      <c r="K370" s="1" t="s">
        <v>15</v>
      </c>
    </row>
    <row r="371" ht="15.75" customHeight="1">
      <c r="A371" s="1">
        <v>370.0</v>
      </c>
      <c r="B371" s="1">
        <v>11.0</v>
      </c>
      <c r="C371" s="4" t="s">
        <v>34</v>
      </c>
      <c r="D371" s="5" t="str">
        <f>IFERROR(__xludf.DUMMYFUNCTION("LET(
  words, TRANSPOSE(SPLIT($C371,""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)"),"borrow rope from PE dept")</f>
        <v>borrow rope from PE dept</v>
      </c>
      <c r="E371" s="3" t="str">
        <f>IFERROR(__xludf.DUMMYFUNCTION("INDEX(SPLIT($C371,"" ""), ROW()-ROW($E$355)+1)
"),"from")</f>
        <v>from</v>
      </c>
      <c r="F371" s="30" t="s">
        <v>18</v>
      </c>
      <c r="G371" s="2"/>
      <c r="H371" s="1" t="s">
        <v>0</v>
      </c>
      <c r="I371" s="2"/>
      <c r="J371" s="2"/>
      <c r="K371" s="1" t="s">
        <v>15</v>
      </c>
    </row>
    <row r="372" ht="15.75" customHeight="1">
      <c r="A372" s="1">
        <v>371.0</v>
      </c>
      <c r="B372" s="1">
        <v>11.0</v>
      </c>
      <c r="C372" s="4" t="s">
        <v>34</v>
      </c>
      <c r="D372" s="5" t="str">
        <f>IFERROR(__xludf.DUMMYFUNCTION("LET(
  words, TRANSPOSE(SPLIT($C372,""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)"),"rope from PE dept ?")</f>
        <v>rope from PE dept ?</v>
      </c>
      <c r="E372" s="3" t="str">
        <f>IFERROR(__xludf.DUMMYFUNCTION("INDEX(SPLIT($C372,"" ""), ROW()-ROW($E$355)+1)
"),"PE")</f>
        <v>PE</v>
      </c>
      <c r="F372" s="30" t="s">
        <v>18</v>
      </c>
      <c r="G372" s="1" t="s">
        <v>31</v>
      </c>
      <c r="H372" s="1" t="s">
        <v>0</v>
      </c>
      <c r="I372" s="2"/>
      <c r="J372" s="2"/>
      <c r="K372" s="1" t="s">
        <v>15</v>
      </c>
    </row>
    <row r="373" ht="15.75" customHeight="1">
      <c r="A373" s="1">
        <v>372.0</v>
      </c>
      <c r="B373" s="1">
        <v>11.0</v>
      </c>
      <c r="C373" s="4" t="s">
        <v>34</v>
      </c>
      <c r="D373" s="5" t="str">
        <f>IFERROR(__xludf.DUMMYFUNCTION("LET(
  words, TRANSPOSE(SPLIT($C373,""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)"),"from PE dept ? since")</f>
        <v>from PE dept ? since</v>
      </c>
      <c r="E373" s="3" t="str">
        <f>IFERROR(__xludf.DUMMYFUNCTION("INDEX(SPLIT($C373,"" ""), ROW()-ROW($E$355)+1)
"),"dept")</f>
        <v>dept</v>
      </c>
      <c r="F373" s="30" t="s">
        <v>18</v>
      </c>
      <c r="G373" s="1" t="s">
        <v>19</v>
      </c>
      <c r="H373" s="1" t="s">
        <v>0</v>
      </c>
      <c r="I373" s="2"/>
      <c r="J373" s="2"/>
      <c r="K373" s="1" t="s">
        <v>15</v>
      </c>
    </row>
    <row r="374" ht="15.75" customHeight="1">
      <c r="A374" s="1">
        <v>373.0</v>
      </c>
      <c r="B374" s="1">
        <v>11.0</v>
      </c>
      <c r="C374" s="4" t="s">
        <v>34</v>
      </c>
      <c r="D374" s="5" t="str">
        <f>IFERROR(__xludf.DUMMYFUNCTION("LET(
  words, TRANSPOSE(SPLIT($C374,""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)"),"PE dept ? since madami")</f>
        <v>PE dept ? since madami</v>
      </c>
      <c r="E374" s="3" t="str">
        <f>IFERROR(__xludf.DUMMYFUNCTION("INDEX(SPLIT($C374,"" ""), ROW()-ROW($E$355)+1)
"),"?")</f>
        <v>?</v>
      </c>
      <c r="F374" s="30" t="s">
        <v>17</v>
      </c>
      <c r="G374" s="2"/>
      <c r="H374" s="1" t="s">
        <v>0</v>
      </c>
      <c r="I374" s="2"/>
      <c r="J374" s="2"/>
      <c r="K374" s="1" t="s">
        <v>15</v>
      </c>
    </row>
    <row r="375" ht="15.75" customHeight="1">
      <c r="A375" s="1">
        <v>374.0</v>
      </c>
      <c r="B375" s="1">
        <v>11.0</v>
      </c>
      <c r="C375" s="4" t="s">
        <v>34</v>
      </c>
      <c r="D375" s="5" t="str">
        <f>IFERROR(__xludf.DUMMYFUNCTION("LET(
  words, TRANSPOSE(SPLIT($C375,""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)"),"dept ? since madami naman")</f>
        <v>dept ? since madami naman</v>
      </c>
      <c r="E375" s="3" t="str">
        <f>IFERROR(__xludf.DUMMYFUNCTION("INDEX(SPLIT($C375,"" ""), ROW()-ROW($E$355)+1)
"),"since")</f>
        <v>since</v>
      </c>
      <c r="F375" s="30" t="s">
        <v>18</v>
      </c>
      <c r="G375" s="2"/>
      <c r="H375" s="1" t="s">
        <v>0</v>
      </c>
      <c r="I375" s="2"/>
      <c r="J375" s="2"/>
      <c r="K375" s="1" t="s">
        <v>15</v>
      </c>
    </row>
    <row r="376" ht="15.75" customHeight="1">
      <c r="A376" s="1">
        <v>375.0</v>
      </c>
      <c r="B376" s="1">
        <v>11.0</v>
      </c>
      <c r="C376" s="4" t="s">
        <v>34</v>
      </c>
      <c r="D376" s="5" t="str">
        <f>IFERROR(__xludf.DUMMYFUNCTION("LET(
  words, TRANSPOSE(SPLIT($C376,""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)"),"? since madami naman tao")</f>
        <v>? since madami naman tao</v>
      </c>
      <c r="E376" s="3" t="str">
        <f>IFERROR(__xludf.DUMMYFUNCTION("INDEX(SPLIT($C376,"" ""), ROW()-ROW($E$355)+1)
"),"madami")</f>
        <v>madami</v>
      </c>
      <c r="F376" s="30" t="s">
        <v>16</v>
      </c>
      <c r="G376" s="2"/>
      <c r="H376" s="1" t="s">
        <v>0</v>
      </c>
      <c r="I376" s="2"/>
      <c r="J376" s="2"/>
      <c r="K376" s="1" t="s">
        <v>15</v>
      </c>
    </row>
    <row r="377" ht="15.75" customHeight="1">
      <c r="A377" s="1">
        <v>376.0</v>
      </c>
      <c r="B377" s="1">
        <v>11.0</v>
      </c>
      <c r="C377" s="4" t="s">
        <v>34</v>
      </c>
      <c r="D377" s="5" t="str">
        <f>IFERROR(__xludf.DUMMYFUNCTION("LET(
  words, TRANSPOSE(SPLIT($C377,""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)"),"since madami naman tao dito")</f>
        <v>since madami naman tao dito</v>
      </c>
      <c r="E377" s="3" t="str">
        <f>IFERROR(__xludf.DUMMYFUNCTION("INDEX(SPLIT($C377,"" ""), ROW()-ROW($E$355)+1)
"),"naman")</f>
        <v>naman</v>
      </c>
      <c r="F377" s="30" t="s">
        <v>16</v>
      </c>
      <c r="G377" s="2"/>
      <c r="H377" s="1" t="s">
        <v>0</v>
      </c>
      <c r="I377" s="2"/>
      <c r="J377" s="2"/>
      <c r="K377" s="1" t="s">
        <v>15</v>
      </c>
    </row>
    <row r="378" ht="15.75" customHeight="1">
      <c r="A378" s="1">
        <v>377.0</v>
      </c>
      <c r="B378" s="1">
        <v>11.0</v>
      </c>
      <c r="C378" s="4" t="s">
        <v>34</v>
      </c>
      <c r="D378" s="5" t="str">
        <f>IFERROR(__xludf.DUMMYFUNCTION("LET(
  words, TRANSPOSE(SPLIT($C378,""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)"),"madami naman tao dito ,")</f>
        <v>madami naman tao dito ,</v>
      </c>
      <c r="E378" s="3" t="str">
        <f>IFERROR(__xludf.DUMMYFUNCTION("INDEX(SPLIT($C378,"" ""), ROW()-ROW($E$355)+1)
"),"tao")</f>
        <v>tao</v>
      </c>
      <c r="F378" s="30" t="s">
        <v>16</v>
      </c>
      <c r="G378" s="2"/>
      <c r="H378" s="1" t="s">
        <v>0</v>
      </c>
      <c r="I378" s="2"/>
      <c r="J378" s="2"/>
      <c r="K378" s="1" t="s">
        <v>15</v>
      </c>
    </row>
    <row r="379" ht="15.75" customHeight="1">
      <c r="A379" s="1">
        <v>378.0</v>
      </c>
      <c r="B379" s="1">
        <v>11.0</v>
      </c>
      <c r="C379" s="4" t="s">
        <v>34</v>
      </c>
      <c r="D379" s="5" t="str">
        <f>IFERROR(__xludf.DUMMYFUNCTION("LET(
  words, TRANSPOSE(SPLIT($C379,""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)"),"naman tao dito , some")</f>
        <v>naman tao dito , some</v>
      </c>
      <c r="E379" s="3" t="str">
        <f>IFERROR(__xludf.DUMMYFUNCTION("INDEX(SPLIT($C379,"" ""), ROW()-ROW($E$355)+1)
"),"dito")</f>
        <v>dito</v>
      </c>
      <c r="F379" s="30" t="s">
        <v>16</v>
      </c>
      <c r="G379" s="2"/>
      <c r="H379" s="1" t="s">
        <v>0</v>
      </c>
      <c r="I379" s="2"/>
      <c r="J379" s="2"/>
      <c r="K379" s="1" t="s">
        <v>15</v>
      </c>
    </row>
    <row r="380" ht="15.75" customHeight="1">
      <c r="A380" s="1">
        <v>379.0</v>
      </c>
      <c r="B380" s="1">
        <v>11.0</v>
      </c>
      <c r="C380" s="4" t="s">
        <v>34</v>
      </c>
      <c r="D380" s="5" t="str">
        <f>IFERROR(__xludf.DUMMYFUNCTION("LET(
  words, TRANSPOSE(SPLIT($C380,""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)"),"tao dito , some can")</f>
        <v>tao dito , some can</v>
      </c>
      <c r="E380" s="3" t="str">
        <f>IFERROR(__xludf.DUMMYFUNCTION("INDEX(SPLIT($C380,"" ""), ROW()-ROW($E$355)+1)
"),",")</f>
        <v>,</v>
      </c>
      <c r="F380" s="30" t="s">
        <v>17</v>
      </c>
      <c r="G380" s="2"/>
      <c r="H380" s="1" t="s">
        <v>0</v>
      </c>
      <c r="I380" s="2"/>
      <c r="J380" s="2"/>
      <c r="K380" s="1" t="s">
        <v>15</v>
      </c>
    </row>
    <row r="381" ht="15.75" customHeight="1">
      <c r="A381" s="1">
        <v>380.0</v>
      </c>
      <c r="B381" s="1">
        <v>11.0</v>
      </c>
      <c r="C381" s="4" t="s">
        <v>34</v>
      </c>
      <c r="D381" s="5" t="str">
        <f>IFERROR(__xludf.DUMMYFUNCTION("LET(
  words, TRANSPOSE(SPLIT($C381,""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)"),"dito , some can train")</f>
        <v>dito , some can train</v>
      </c>
      <c r="E381" s="3" t="str">
        <f>IFERROR(__xludf.DUMMYFUNCTION("INDEX(SPLIT($C381,"" ""), ROW()-ROW($E$355)+1)
"),"some")</f>
        <v>some</v>
      </c>
      <c r="F381" s="30" t="s">
        <v>18</v>
      </c>
      <c r="G381" s="2"/>
      <c r="H381" s="1" t="s">
        <v>0</v>
      </c>
      <c r="I381" s="2"/>
      <c r="J381" s="2"/>
      <c r="K381" s="1" t="s">
        <v>15</v>
      </c>
    </row>
    <row r="382" ht="15.75" customHeight="1">
      <c r="A382" s="1">
        <v>381.0</v>
      </c>
      <c r="B382" s="1">
        <v>11.0</v>
      </c>
      <c r="C382" s="4" t="s">
        <v>34</v>
      </c>
      <c r="D382" s="5" t="str">
        <f>IFERROR(__xludf.DUMMYFUNCTION("LET(
  words, TRANSPOSE(SPLIT($C382,""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some can train with")</f>
        <v>, some can train with</v>
      </c>
      <c r="E382" s="3" t="str">
        <f>IFERROR(__xludf.DUMMYFUNCTION("INDEX(SPLIT($C382,"" ""), ROW()-ROW($E$355)+1)
"),"can")</f>
        <v>can</v>
      </c>
      <c r="F382" s="30" t="s">
        <v>18</v>
      </c>
      <c r="G382" s="2"/>
      <c r="H382" s="1" t="s">
        <v>0</v>
      </c>
      <c r="I382" s="2"/>
      <c r="J382" s="2"/>
      <c r="K382" s="1" t="s">
        <v>15</v>
      </c>
    </row>
    <row r="383" ht="15.75" customHeight="1">
      <c r="A383" s="1">
        <v>382.0</v>
      </c>
      <c r="B383" s="1">
        <v>11.0</v>
      </c>
      <c r="C383" s="4" t="s">
        <v>34</v>
      </c>
      <c r="D383" s="5" t="str">
        <f>IFERROR(__xludf.DUMMYFUNCTION("LET(
  words, TRANSPOSE(SPLIT($C383,""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)"),"some can train with the")</f>
        <v>some can train with the</v>
      </c>
      <c r="E383" s="3" t="str">
        <f>IFERROR(__xludf.DUMMYFUNCTION("INDEX(SPLIT($C383,"" ""), ROW()-ROW($E$355)+1)
"),"train")</f>
        <v>train</v>
      </c>
      <c r="F383" s="30" t="s">
        <v>18</v>
      </c>
      <c r="G383" s="2"/>
      <c r="H383" s="1" t="s">
        <v>0</v>
      </c>
      <c r="I383" s="2"/>
      <c r="J383" s="2"/>
      <c r="K383" s="1" t="s">
        <v>15</v>
      </c>
    </row>
    <row r="384" ht="15.75" customHeight="1">
      <c r="A384" s="1">
        <v>383.0</v>
      </c>
      <c r="B384" s="1">
        <v>11.0</v>
      </c>
      <c r="C384" s="4" t="s">
        <v>34</v>
      </c>
      <c r="D384" s="5" t="str">
        <f>IFERROR(__xludf.DUMMYFUNCTION("LET(
  words, TRANSPOSE(SPLIT($C384,""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)"),"can train with the other")</f>
        <v>can train with the other</v>
      </c>
      <c r="E384" s="3" t="str">
        <f>IFERROR(__xludf.DUMMYFUNCTION("INDEX(SPLIT($C384,"" ""), ROW()-ROW($E$355)+1)
"),"with")</f>
        <v>with</v>
      </c>
      <c r="F384" s="30" t="s">
        <v>18</v>
      </c>
      <c r="G384" s="2"/>
      <c r="H384" s="1" t="s">
        <v>0</v>
      </c>
      <c r="I384" s="2"/>
      <c r="J384" s="2"/>
      <c r="K384" s="1" t="s">
        <v>15</v>
      </c>
    </row>
    <row r="385" ht="15.75" customHeight="1">
      <c r="A385" s="1">
        <v>384.0</v>
      </c>
      <c r="B385" s="1">
        <v>11.0</v>
      </c>
      <c r="C385" s="4" t="s">
        <v>34</v>
      </c>
      <c r="D385" s="5" t="str">
        <f>IFERROR(__xludf.DUMMYFUNCTION("LET(
  words, TRANSPOSE(SPLIT($C385,""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)"),"train with the other members")</f>
        <v>train with the other members</v>
      </c>
      <c r="E385" s="3" t="str">
        <f>IFERROR(__xludf.DUMMYFUNCTION("INDEX(SPLIT($C385,"" ""), ROW()-ROW($E$355)+1)
"),"the")</f>
        <v>the</v>
      </c>
      <c r="F385" s="30" t="s">
        <v>18</v>
      </c>
      <c r="G385" s="2"/>
      <c r="H385" s="1" t="s">
        <v>0</v>
      </c>
      <c r="I385" s="2"/>
      <c r="J385" s="2"/>
      <c r="K385" s="1" t="s">
        <v>15</v>
      </c>
    </row>
    <row r="386" ht="15.75" customHeight="1">
      <c r="A386" s="1">
        <v>385.0</v>
      </c>
      <c r="B386" s="1">
        <v>11.0</v>
      </c>
      <c r="C386" s="4" t="s">
        <v>34</v>
      </c>
      <c r="D386" s="5" t="str">
        <f>IFERROR(__xludf.DUMMYFUNCTION("LET(
  words, TRANSPOSE(SPLIT($C386,""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)"),"with the other members na")</f>
        <v>with the other members na</v>
      </c>
      <c r="E386" s="3" t="str">
        <f>IFERROR(__xludf.DUMMYFUNCTION("INDEX(SPLIT($C386,"" ""), ROW()-ROW($E$355)+1)
"),"other")</f>
        <v>other</v>
      </c>
      <c r="F386" s="30" t="s">
        <v>18</v>
      </c>
      <c r="G386" s="2"/>
      <c r="H386" s="1" t="s">
        <v>0</v>
      </c>
      <c r="I386" s="2"/>
      <c r="J386" s="2"/>
      <c r="K386" s="1" t="s">
        <v>15</v>
      </c>
    </row>
    <row r="387" ht="15.75" customHeight="1">
      <c r="A387" s="1">
        <v>386.0</v>
      </c>
      <c r="B387" s="1">
        <v>11.0</v>
      </c>
      <c r="C387" s="4" t="s">
        <v>34</v>
      </c>
      <c r="D387" s="5" t="str">
        <f>IFERROR(__xludf.DUMMYFUNCTION("LET(
  words, TRANSPOSE(SPLIT($C387,""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)"),"the other members na mag")</f>
        <v>the other members na mag</v>
      </c>
      <c r="E387" s="3" t="str">
        <f>IFERROR(__xludf.DUMMYFUNCTION("INDEX(SPLIT($C387,"" ""), ROW()-ROW($E$355)+1)
"),"members")</f>
        <v>members</v>
      </c>
      <c r="F387" s="30" t="s">
        <v>18</v>
      </c>
      <c r="G387" s="2"/>
      <c r="H387" s="1" t="s">
        <v>0</v>
      </c>
      <c r="I387" s="2"/>
      <c r="J387" s="2"/>
      <c r="K387" s="1" t="s">
        <v>15</v>
      </c>
    </row>
    <row r="388" ht="15.75" customHeight="1">
      <c r="A388" s="1">
        <v>387.0</v>
      </c>
      <c r="B388" s="1">
        <v>11.0</v>
      </c>
      <c r="C388" s="4" t="s">
        <v>34</v>
      </c>
      <c r="D388" s="5" t="str">
        <f>IFERROR(__xludf.DUMMYFUNCTION("LET(
  words, TRANSPOSE(SPLIT($C388,""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)"),"other members na mag rerep")</f>
        <v>other members na mag rerep</v>
      </c>
      <c r="E388" s="3" t="str">
        <f>IFERROR(__xludf.DUMMYFUNCTION("INDEX(SPLIT($C388,"" ""), ROW()-ROW($E$355)+1)
"),"na")</f>
        <v>na</v>
      </c>
      <c r="F388" s="30" t="s">
        <v>16</v>
      </c>
      <c r="G388" s="2"/>
      <c r="H388" s="1" t="s">
        <v>0</v>
      </c>
      <c r="I388" s="2"/>
      <c r="J388" s="2"/>
      <c r="K388" s="1" t="s">
        <v>15</v>
      </c>
    </row>
    <row r="389" ht="15.75" customHeight="1">
      <c r="A389" s="1">
        <v>388.0</v>
      </c>
      <c r="B389" s="1">
        <v>11.0</v>
      </c>
      <c r="C389" s="4" t="s">
        <v>34</v>
      </c>
      <c r="D389" s="5" t="str">
        <f>IFERROR(__xludf.DUMMYFUNCTION("LET(
  words, TRANSPOSE(SPLIT($C389,""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)"),"members na mag rerep sa")</f>
        <v>members na mag rerep sa</v>
      </c>
      <c r="E389" s="3" t="str">
        <f>IFERROR(__xludf.DUMMYFUNCTION("INDEX(SPLIT($C389,"" ""), ROW()-ROW($E$355)+1)
"),"mag")</f>
        <v>mag</v>
      </c>
      <c r="F389" s="30" t="s">
        <v>16</v>
      </c>
      <c r="G389" s="2"/>
      <c r="H389" s="1" t="s">
        <v>0</v>
      </c>
      <c r="I389" s="2"/>
      <c r="J389" s="2"/>
      <c r="K389" s="1" t="s">
        <v>15</v>
      </c>
    </row>
    <row r="390" ht="15.75" customHeight="1">
      <c r="A390" s="1">
        <v>389.0</v>
      </c>
      <c r="B390" s="1">
        <v>11.0</v>
      </c>
      <c r="C390" s="4" t="s">
        <v>34</v>
      </c>
      <c r="D390" s="5" t="str">
        <f>IFERROR(__xludf.DUMMYFUNCTION("LET(
  words, TRANSPOSE(SPLIT($C390,""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mag rerep sa tug")</f>
        <v>na mag rerep sa tug</v>
      </c>
      <c r="E390" s="3" t="str">
        <f>IFERROR(__xludf.DUMMYFUNCTION("INDEX(SPLIT($C390,"" ""), ROW()-ROW($E$355)+1)
"),"rerep")</f>
        <v>rerep</v>
      </c>
      <c r="F390" s="30" t="s">
        <v>23</v>
      </c>
      <c r="G390" s="1" t="s">
        <v>19</v>
      </c>
      <c r="H390" s="1" t="s">
        <v>0</v>
      </c>
      <c r="I390" s="2"/>
      <c r="J390" s="2"/>
      <c r="K390" s="1" t="s">
        <v>15</v>
      </c>
    </row>
    <row r="391" ht="15.75" customHeight="1">
      <c r="A391" s="1">
        <v>390.0</v>
      </c>
      <c r="B391" s="1">
        <v>11.0</v>
      </c>
      <c r="C391" s="4" t="s">
        <v>34</v>
      </c>
      <c r="D391" s="5" t="str">
        <f>IFERROR(__xludf.DUMMYFUNCTION("LET(
  words, TRANSPOSE(SPLIT($C391,""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)"),"mag rerep sa tug of")</f>
        <v>mag rerep sa tug of</v>
      </c>
      <c r="E391" s="3" t="str">
        <f>IFERROR(__xludf.DUMMYFUNCTION("INDEX(SPLIT($C391,"" ""), ROW()-ROW($E$355)+1)
"),"sa")</f>
        <v>sa</v>
      </c>
      <c r="F391" s="30" t="s">
        <v>16</v>
      </c>
      <c r="G391" s="2"/>
      <c r="H391" s="1" t="s">
        <v>0</v>
      </c>
      <c r="I391" s="2"/>
      <c r="J391" s="2"/>
      <c r="K391" s="1" t="s">
        <v>15</v>
      </c>
    </row>
    <row r="392" ht="15.75" customHeight="1">
      <c r="A392" s="1">
        <v>391.0</v>
      </c>
      <c r="B392" s="1">
        <v>11.0</v>
      </c>
      <c r="C392" s="4" t="s">
        <v>34</v>
      </c>
      <c r="D392" s="5" t="str">
        <f>IFERROR(__xludf.DUMMYFUNCTION("LET(
  words, TRANSPOSE(SPLIT($C392,""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)"),"rerep sa tug of war")</f>
        <v>rerep sa tug of war</v>
      </c>
      <c r="E392" s="3" t="str">
        <f>IFERROR(__xludf.DUMMYFUNCTION("INDEX(SPLIT($C392,"" ""), ROW()-ROW($E$355)+1)
"),"tug")</f>
        <v>tug</v>
      </c>
      <c r="F392" s="30" t="s">
        <v>18</v>
      </c>
      <c r="G392" s="2"/>
      <c r="H392" s="1" t="s">
        <v>0</v>
      </c>
      <c r="I392" s="2"/>
      <c r="J392" s="2"/>
      <c r="K392" s="1" t="s">
        <v>15</v>
      </c>
    </row>
    <row r="393" ht="15.75" customHeight="1">
      <c r="A393" s="1">
        <v>392.0</v>
      </c>
      <c r="B393" s="1">
        <v>11.0</v>
      </c>
      <c r="C393" s="4" t="s">
        <v>34</v>
      </c>
      <c r="D393" s="5" t="str">
        <f>IFERROR(__xludf.DUMMYFUNCTION("LET(
  words, TRANSPOSE(SPLIT($C393,""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tug of war para")</f>
        <v>sa tug of war para</v>
      </c>
      <c r="E393" s="3" t="str">
        <f>IFERROR(__xludf.DUMMYFUNCTION("INDEX(SPLIT($C393,"" ""), ROW()-ROW($E$355)+1)
"),"of")</f>
        <v>of</v>
      </c>
      <c r="F393" s="30" t="s">
        <v>18</v>
      </c>
      <c r="G393" s="2"/>
      <c r="H393" s="1" t="s">
        <v>0</v>
      </c>
      <c r="I393" s="2"/>
      <c r="J393" s="2"/>
      <c r="K393" s="1" t="s">
        <v>15</v>
      </c>
    </row>
    <row r="394" ht="15.75" customHeight="1">
      <c r="A394" s="1">
        <v>393.0</v>
      </c>
      <c r="B394" s="1">
        <v>11.0</v>
      </c>
      <c r="C394" s="4" t="s">
        <v>34</v>
      </c>
      <c r="D394" s="5" t="str">
        <f>IFERROR(__xludf.DUMMYFUNCTION("LET(
  words, TRANSPOSE(SPLIT($C394,""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)"),"tug of war para ready")</f>
        <v>tug of war para ready</v>
      </c>
      <c r="E394" s="3" t="str">
        <f>IFERROR(__xludf.DUMMYFUNCTION("INDEX(SPLIT($C394,"" ""), ROW()-ROW($E$355)+1)
"),"war")</f>
        <v>war</v>
      </c>
      <c r="F394" s="30" t="s">
        <v>18</v>
      </c>
      <c r="G394" s="2"/>
      <c r="H394" s="1" t="s">
        <v>0</v>
      </c>
      <c r="I394" s="2"/>
      <c r="J394" s="2"/>
      <c r="K394" s="1" t="s">
        <v>15</v>
      </c>
    </row>
    <row r="395" ht="15.75" customHeight="1">
      <c r="A395" s="1">
        <v>394.0</v>
      </c>
      <c r="B395" s="1">
        <v>11.0</v>
      </c>
      <c r="C395" s="4" t="s">
        <v>34</v>
      </c>
      <c r="D395" s="5" t="str">
        <f>IFERROR(__xludf.DUMMYFUNCTION("LET(
  words, TRANSPOSE(SPLIT($C395,""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)"),"of war para ready :")</f>
        <v>of war para ready :</v>
      </c>
      <c r="E395" s="3" t="str">
        <f>IFERROR(__xludf.DUMMYFUNCTION("INDEX(SPLIT($C395,"" ""), ROW()-ROW($E$355)+1)
"),"para")</f>
        <v>para</v>
      </c>
      <c r="F395" s="30" t="s">
        <v>16</v>
      </c>
      <c r="G395" s="2"/>
      <c r="H395" s="1" t="s">
        <v>0</v>
      </c>
      <c r="I395" s="2"/>
      <c r="J395" s="2"/>
      <c r="K395" s="1" t="s">
        <v>15</v>
      </c>
    </row>
    <row r="396" ht="15.75" customHeight="1">
      <c r="A396" s="1">
        <v>395.0</v>
      </c>
      <c r="B396" s="1">
        <v>11.0</v>
      </c>
      <c r="C396" s="4" t="s">
        <v>34</v>
      </c>
      <c r="D396" s="5" t="str">
        <f>IFERROR(__xludf.DUMMYFUNCTION("LET(
  words, TRANSPOSE(SPLIT($C396,""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)"),"war para ready : &gt;")</f>
        <v>war para ready : &gt;</v>
      </c>
      <c r="E396" s="3" t="str">
        <f>IFERROR(__xludf.DUMMYFUNCTION("INDEX(SPLIT($C396,"" ""), ROW()-ROW($E$355)+1)
"),"ready")</f>
        <v>ready</v>
      </c>
      <c r="F396" s="30" t="s">
        <v>18</v>
      </c>
      <c r="G396" s="2"/>
      <c r="H396" s="1" t="s">
        <v>0</v>
      </c>
      <c r="I396" s="2"/>
      <c r="J396" s="2"/>
      <c r="K396" s="1" t="s">
        <v>15</v>
      </c>
    </row>
    <row r="397" ht="15.75" customHeight="1">
      <c r="A397" s="1">
        <v>396.0</v>
      </c>
      <c r="B397" s="1">
        <v>11.0</v>
      </c>
      <c r="C397" s="4" t="s">
        <v>34</v>
      </c>
      <c r="D397" s="5" t="str">
        <f>IFERROR(__xludf.DUMMYFUNCTION("LET(
  words, TRANSPOSE(SPLIT($C397,""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)"),"para ready : &gt;")</f>
        <v>para ready : &gt;</v>
      </c>
      <c r="E397" s="3" t="str">
        <f>IFERROR(__xludf.DUMMYFUNCTION("INDEX(SPLIT($C397,"" ""), ROW()-ROW($E$355)+1)
"),":")</f>
        <v>:</v>
      </c>
      <c r="F397" s="30" t="s">
        <v>17</v>
      </c>
      <c r="G397" s="2"/>
      <c r="H397" s="1" t="s">
        <v>0</v>
      </c>
      <c r="I397" s="2"/>
      <c r="J397" s="2"/>
      <c r="K397" s="1" t="s">
        <v>15</v>
      </c>
    </row>
    <row r="398" ht="15.75" customHeight="1">
      <c r="A398" s="10">
        <v>397.0</v>
      </c>
      <c r="B398" s="10">
        <v>11.0</v>
      </c>
      <c r="C398" s="7" t="s">
        <v>34</v>
      </c>
      <c r="D398" s="8" t="str">
        <f>IFERROR(__xludf.DUMMYFUNCTION("LET(
  words, TRANSPOSE(SPLIT($C398,"" "")),
  n, ROWS(words),
  i, ROW() - ROW($D$355)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)"),"ready : &gt;")</f>
        <v>ready : &gt;</v>
      </c>
      <c r="E398" s="9" t="str">
        <f>IFERROR(__xludf.DUMMYFUNCTION("INDEX(SPLIT($C398,"" ""), ROW()-ROW($E$355)+1)
"),"&gt;")</f>
        <v>&gt;</v>
      </c>
      <c r="F398" s="32" t="s">
        <v>17</v>
      </c>
      <c r="G398" s="6"/>
      <c r="H398" s="10" t="s">
        <v>0</v>
      </c>
      <c r="I398" s="6"/>
      <c r="J398" s="6"/>
      <c r="K398" s="10" t="s">
        <v>15</v>
      </c>
      <c r="L398" s="6"/>
    </row>
    <row r="399" ht="15.75" customHeight="1">
      <c r="A399" s="1">
        <v>398.0</v>
      </c>
      <c r="B399" s="1">
        <v>12.0</v>
      </c>
      <c r="C399" s="4" t="s">
        <v>35</v>
      </c>
      <c r="D399" s="5" t="str">
        <f>IFERROR(__xludf.DUMMYFUNCTION("LET(
  words, TRANSPOSE(SPLIT($C399,""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)"),"Ayon sa mga")</f>
        <v>Ayon sa mga</v>
      </c>
      <c r="E399" s="3" t="str">
        <f>IFERROR(__xludf.DUMMYFUNCTION("INDEX(SPLIT($C399,"" ""), ROW()-ROW($E$399)+1)
"),"Ayon")</f>
        <v>Ayon</v>
      </c>
      <c r="F399" s="30" t="s">
        <v>16</v>
      </c>
      <c r="G399" s="2"/>
      <c r="H399" s="1" t="s">
        <v>0</v>
      </c>
      <c r="I399" s="2"/>
      <c r="J399" s="2"/>
      <c r="K399" s="1" t="s">
        <v>15</v>
      </c>
    </row>
    <row r="400" ht="15.75" customHeight="1">
      <c r="A400" s="1">
        <v>399.0</v>
      </c>
      <c r="B400" s="1">
        <v>12.0</v>
      </c>
      <c r="C400" s="4" t="s">
        <v>35</v>
      </c>
      <c r="D400" s="5" t="str">
        <f>IFERROR(__xludf.DUMMYFUNCTION("LET(
  words, TRANSPOSE(SPLIT($C400,""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)"),"Ayon sa mga ulat")</f>
        <v>Ayon sa mga ulat</v>
      </c>
      <c r="E400" s="3" t="str">
        <f>IFERROR(__xludf.DUMMYFUNCTION("INDEX(SPLIT($C400,"" ""), ROW()-ROW($E$399)+1)
"),"sa")</f>
        <v>sa</v>
      </c>
      <c r="F400" s="30" t="s">
        <v>16</v>
      </c>
      <c r="G400" s="2"/>
      <c r="H400" s="1" t="s">
        <v>0</v>
      </c>
      <c r="I400" s="2"/>
      <c r="J400" s="2"/>
      <c r="K400" s="1" t="s">
        <v>15</v>
      </c>
    </row>
    <row r="401" ht="15.75" customHeight="1">
      <c r="A401" s="1">
        <v>400.0</v>
      </c>
      <c r="B401" s="1">
        <v>12.0</v>
      </c>
      <c r="C401" s="4" t="s">
        <v>35</v>
      </c>
      <c r="D401" s="5" t="str">
        <f>IFERROR(__xludf.DUMMYFUNCTION("LET(
  words, TRANSPOSE(SPLIT($C401,""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)"),"Ayon sa mga ulat ,")</f>
        <v>Ayon sa mga ulat ,</v>
      </c>
      <c r="E401" s="3" t="str">
        <f>IFERROR(__xludf.DUMMYFUNCTION("INDEX(SPLIT($C401,"" ""), ROW()-ROW($E$399)+1)
"),"mga")</f>
        <v>mga</v>
      </c>
      <c r="F401" s="30" t="s">
        <v>16</v>
      </c>
      <c r="G401" s="2"/>
      <c r="H401" s="1" t="s">
        <v>0</v>
      </c>
      <c r="I401" s="2"/>
      <c r="J401" s="2"/>
      <c r="K401" s="1" t="s">
        <v>15</v>
      </c>
    </row>
    <row r="402" ht="15.75" customHeight="1">
      <c r="A402" s="1">
        <v>401.0</v>
      </c>
      <c r="B402" s="1">
        <v>12.0</v>
      </c>
      <c r="C402" s="4" t="s">
        <v>35</v>
      </c>
      <c r="D402" s="5" t="str">
        <f>IFERROR(__xludf.DUMMYFUNCTION("LET(
  words, TRANSPOSE(SPLIT($C402,""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mga ulat , tumakas")</f>
        <v>sa mga ulat , tumakas</v>
      </c>
      <c r="E402" s="3" t="str">
        <f>IFERROR(__xludf.DUMMYFUNCTION("INDEX(SPLIT($C402,"" ""), ROW()-ROW($E$399)+1)
"),"ulat")</f>
        <v>ulat</v>
      </c>
      <c r="F402" s="30" t="s">
        <v>16</v>
      </c>
      <c r="G402" s="2"/>
      <c r="H402" s="1" t="s">
        <v>0</v>
      </c>
      <c r="I402" s="2"/>
      <c r="J402" s="2"/>
      <c r="K402" s="1" t="s">
        <v>15</v>
      </c>
    </row>
    <row r="403" ht="15.75" customHeight="1">
      <c r="A403" s="1">
        <v>402.0</v>
      </c>
      <c r="B403" s="1">
        <v>12.0</v>
      </c>
      <c r="C403" s="4" t="s">
        <v>35</v>
      </c>
      <c r="D403" s="5" t="str">
        <f>IFERROR(__xludf.DUMMYFUNCTION("LET(
  words, TRANSPOSE(SPLIT($C403,""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)"),"mga ulat , tumakas ang")</f>
        <v>mga ulat , tumakas ang</v>
      </c>
      <c r="E403" s="3" t="str">
        <f>IFERROR(__xludf.DUMMYFUNCTION("INDEX(SPLIT($C403,"" ""), ROW()-ROW($E$399)+1)
"),",")</f>
        <v>,</v>
      </c>
      <c r="F403" s="30" t="s">
        <v>17</v>
      </c>
      <c r="G403" s="2"/>
      <c r="H403" s="1" t="s">
        <v>0</v>
      </c>
      <c r="I403" s="2"/>
      <c r="J403" s="2"/>
      <c r="K403" s="1" t="s">
        <v>15</v>
      </c>
    </row>
    <row r="404" ht="15.75" customHeight="1">
      <c r="A404" s="1">
        <v>403.0</v>
      </c>
      <c r="B404" s="1">
        <v>12.0</v>
      </c>
      <c r="C404" s="4" t="s">
        <v>35</v>
      </c>
      <c r="D404" s="5" t="str">
        <f>IFERROR(__xludf.DUMMYFUNCTION("LET(
  words, TRANSPOSE(SPLIT($C404,""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)"),"ulat , tumakas ang driver")</f>
        <v>ulat , tumakas ang driver</v>
      </c>
      <c r="E404" s="3" t="str">
        <f>IFERROR(__xludf.DUMMYFUNCTION("INDEX(SPLIT($C404,"" ""), ROW()-ROW($E$399)+1)
"),"tumakas")</f>
        <v>tumakas</v>
      </c>
      <c r="F404" s="30" t="s">
        <v>16</v>
      </c>
      <c r="G404" s="2"/>
      <c r="H404" s="1" t="s">
        <v>0</v>
      </c>
      <c r="I404" s="2"/>
      <c r="J404" s="2"/>
      <c r="K404" s="1" t="s">
        <v>15</v>
      </c>
    </row>
    <row r="405" ht="15.75" customHeight="1">
      <c r="A405" s="1">
        <v>404.0</v>
      </c>
      <c r="B405" s="1">
        <v>12.0</v>
      </c>
      <c r="C405" s="4" t="s">
        <v>35</v>
      </c>
      <c r="D405" s="5" t="str">
        <f>IFERROR(__xludf.DUMMYFUNCTION("LET(
  words, TRANSPOSE(SPLIT($C405,""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tumakas ang driver matapos")</f>
        <v>, tumakas ang driver matapos</v>
      </c>
      <c r="E405" s="3" t="str">
        <f>IFERROR(__xludf.DUMMYFUNCTION("INDEX(SPLIT($C405,"" ""), ROW()-ROW($E$399)+1)
"),"ang")</f>
        <v>ang</v>
      </c>
      <c r="F405" s="30" t="s">
        <v>16</v>
      </c>
      <c r="G405" s="2"/>
      <c r="H405" s="1" t="s">
        <v>0</v>
      </c>
      <c r="I405" s="2"/>
      <c r="J405" s="2"/>
      <c r="K405" s="1" t="s">
        <v>15</v>
      </c>
    </row>
    <row r="406" ht="15.75" customHeight="1">
      <c r="A406" s="1">
        <v>405.0</v>
      </c>
      <c r="B406" s="1">
        <v>12.0</v>
      </c>
      <c r="C406" s="4" t="s">
        <v>35</v>
      </c>
      <c r="D406" s="5" t="str">
        <f>IFERROR(__xludf.DUMMYFUNCTION("LET(
  words, TRANSPOSE(SPLIT($C406,""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)"),"tumakas ang driver matapos mabangga")</f>
        <v>tumakas ang driver matapos mabangga</v>
      </c>
      <c r="E406" s="3" t="str">
        <f>IFERROR(__xludf.DUMMYFUNCTION("INDEX(SPLIT($C406,"" ""), ROW()-ROW($E$399)+1)
"),"driver")</f>
        <v>driver</v>
      </c>
      <c r="F406" s="30" t="s">
        <v>18</v>
      </c>
      <c r="G406" s="2"/>
      <c r="H406" s="1" t="s">
        <v>0</v>
      </c>
      <c r="I406" s="2"/>
      <c r="J406" s="2"/>
      <c r="K406" s="1" t="s">
        <v>15</v>
      </c>
    </row>
    <row r="407" ht="15.75" customHeight="1">
      <c r="A407" s="1">
        <v>406.0</v>
      </c>
      <c r="B407" s="1">
        <v>12.0</v>
      </c>
      <c r="C407" s="4" t="s">
        <v>35</v>
      </c>
      <c r="D407" s="5" t="str">
        <f>IFERROR(__xludf.DUMMYFUNCTION("LET(
  words, TRANSPOSE(SPLIT($C407,""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driver matapos mabangga ang")</f>
        <v>ang driver matapos mabangga ang</v>
      </c>
      <c r="E407" s="3" t="str">
        <f>IFERROR(__xludf.DUMMYFUNCTION("INDEX(SPLIT($C407,"" ""), ROW()-ROW($E$399)+1)
"),"matapos")</f>
        <v>matapos</v>
      </c>
      <c r="F407" s="30" t="s">
        <v>16</v>
      </c>
      <c r="G407" s="2"/>
      <c r="H407" s="1" t="s">
        <v>0</v>
      </c>
      <c r="I407" s="2"/>
      <c r="J407" s="2"/>
      <c r="K407" s="1" t="s">
        <v>15</v>
      </c>
    </row>
    <row r="408" ht="15.75" customHeight="1">
      <c r="A408" s="1">
        <v>407.0</v>
      </c>
      <c r="B408" s="1">
        <v>12.0</v>
      </c>
      <c r="C408" s="4" t="s">
        <v>35</v>
      </c>
      <c r="D408" s="5" t="str">
        <f>IFERROR(__xludf.DUMMYFUNCTION("LET(
  words, TRANSPOSE(SPLIT($C408,""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)"),"driver matapos mabangga ang isang")</f>
        <v>driver matapos mabangga ang isang</v>
      </c>
      <c r="E408" s="3" t="str">
        <f>IFERROR(__xludf.DUMMYFUNCTION("INDEX(SPLIT($C408,"" ""), ROW()-ROW($E$399)+1)
"),"mabangga")</f>
        <v>mabangga</v>
      </c>
      <c r="F408" s="30" t="s">
        <v>16</v>
      </c>
      <c r="G408" s="2"/>
      <c r="H408" s="1" t="s">
        <v>0</v>
      </c>
      <c r="I408" s="2"/>
      <c r="J408" s="2"/>
      <c r="K408" s="1" t="s">
        <v>15</v>
      </c>
    </row>
    <row r="409" ht="15.75" customHeight="1">
      <c r="A409" s="1">
        <v>408.0</v>
      </c>
      <c r="B409" s="1">
        <v>12.0</v>
      </c>
      <c r="C409" s="4" t="s">
        <v>35</v>
      </c>
      <c r="D409" s="5" t="str">
        <f>IFERROR(__xludf.DUMMYFUNCTION("LET(
  words, TRANSPOSE(SPLIT($C409,""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)"),"matapos mabangga ang isang pedestrian")</f>
        <v>matapos mabangga ang isang pedestrian</v>
      </c>
      <c r="E409" s="3" t="str">
        <f>IFERROR(__xludf.DUMMYFUNCTION("INDEX(SPLIT($C409,"" ""), ROW()-ROW($E$399)+1)
"),"ang")</f>
        <v>ang</v>
      </c>
      <c r="F409" s="30" t="s">
        <v>16</v>
      </c>
      <c r="G409" s="2"/>
      <c r="H409" s="1" t="s">
        <v>0</v>
      </c>
      <c r="I409" s="2"/>
      <c r="J409" s="2"/>
      <c r="K409" s="1" t="s">
        <v>15</v>
      </c>
    </row>
    <row r="410" ht="15.75" customHeight="1">
      <c r="A410" s="1">
        <v>409.0</v>
      </c>
      <c r="B410" s="1">
        <v>12.0</v>
      </c>
      <c r="C410" s="4" t="s">
        <v>35</v>
      </c>
      <c r="D410" s="5" t="str">
        <f>IFERROR(__xludf.DUMMYFUNCTION("LET(
  words, TRANSPOSE(SPLIT($C410,""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)"),"mabangga ang isang pedestrian .")</f>
        <v>mabangga ang isang pedestrian .</v>
      </c>
      <c r="E410" s="3" t="str">
        <f>IFERROR(__xludf.DUMMYFUNCTION("INDEX(SPLIT($C410,"" ""), ROW()-ROW($E$399)+1)
"),"isang")</f>
        <v>isang</v>
      </c>
      <c r="F410" s="30" t="s">
        <v>16</v>
      </c>
      <c r="G410" s="2"/>
      <c r="H410" s="1" t="s">
        <v>0</v>
      </c>
      <c r="I410" s="2"/>
      <c r="J410" s="2"/>
      <c r="K410" s="1" t="s">
        <v>15</v>
      </c>
    </row>
    <row r="411" ht="15.75" customHeight="1">
      <c r="A411" s="1">
        <v>410.0</v>
      </c>
      <c r="B411" s="1">
        <v>12.0</v>
      </c>
      <c r="C411" s="4" t="s">
        <v>35</v>
      </c>
      <c r="D411" s="5" t="str">
        <f>IFERROR(__xludf.DUMMYFUNCTION("LET(
  words, TRANSPOSE(SPLIT($C411,""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isang pedestrian . Muling")</f>
        <v>ang isang pedestrian . Muling</v>
      </c>
      <c r="E411" s="3" t="str">
        <f>IFERROR(__xludf.DUMMYFUNCTION("INDEX(SPLIT($C411,"" ""), ROW()-ROW($E$399)+1)
"),"pedestrian")</f>
        <v>pedestrian</v>
      </c>
      <c r="F411" s="30" t="s">
        <v>18</v>
      </c>
      <c r="G411" s="2"/>
      <c r="H411" s="1" t="s">
        <v>0</v>
      </c>
      <c r="I411" s="2"/>
      <c r="J411" s="2"/>
      <c r="K411" s="1" t="s">
        <v>15</v>
      </c>
    </row>
    <row r="412" ht="15.75" customHeight="1">
      <c r="A412" s="1">
        <v>411.0</v>
      </c>
      <c r="B412" s="1">
        <v>12.0</v>
      </c>
      <c r="C412" s="4" t="s">
        <v>35</v>
      </c>
      <c r="D412" s="5" t="str">
        <f>IFERROR(__xludf.DUMMYFUNCTION("LET(
  words, TRANSPOSE(SPLIT($C412,""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)"),"isang pedestrian . Muling iginiit")</f>
        <v>isang pedestrian . Muling iginiit</v>
      </c>
      <c r="E412" s="3" t="str">
        <f>IFERROR(__xludf.DUMMYFUNCTION("INDEX(SPLIT($C412,"" ""), ROW()-ROW($E$399)+1)
"),".")</f>
        <v>.</v>
      </c>
      <c r="F412" s="30" t="s">
        <v>17</v>
      </c>
      <c r="G412" s="2"/>
      <c r="H412" s="1" t="s">
        <v>0</v>
      </c>
      <c r="I412" s="2"/>
      <c r="J412" s="2"/>
      <c r="K412" s="1" t="s">
        <v>15</v>
      </c>
    </row>
    <row r="413" ht="15.75" customHeight="1">
      <c r="A413" s="1">
        <v>412.0</v>
      </c>
      <c r="B413" s="1">
        <v>12.0</v>
      </c>
      <c r="C413" s="4" t="s">
        <v>35</v>
      </c>
      <c r="D413" s="5" t="str">
        <f>IFERROR(__xludf.DUMMYFUNCTION("LET(
  words, TRANSPOSE(SPLIT($C413,""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)"),"pedestrian . Muling iginiit ng")</f>
        <v>pedestrian . Muling iginiit ng</v>
      </c>
      <c r="E413" s="3" t="str">
        <f>IFERROR(__xludf.DUMMYFUNCTION("INDEX(SPLIT($C413,"" ""), ROW()-ROW($E$399)+1)
"),"Muling")</f>
        <v>Muling</v>
      </c>
      <c r="F413" s="30" t="s">
        <v>16</v>
      </c>
      <c r="G413" s="2"/>
      <c r="H413" s="1" t="s">
        <v>0</v>
      </c>
      <c r="I413" s="2"/>
      <c r="J413" s="2"/>
      <c r="K413" s="1" t="s">
        <v>15</v>
      </c>
    </row>
    <row r="414" ht="15.75" customHeight="1">
      <c r="A414" s="1">
        <v>413.0</v>
      </c>
      <c r="B414" s="1">
        <v>12.0</v>
      </c>
      <c r="C414" s="4" t="s">
        <v>35</v>
      </c>
      <c r="D414" s="5" t="str">
        <f>IFERROR(__xludf.DUMMYFUNCTION("LET(
  words, TRANSPOSE(SPLIT($C414,""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Muling iginiit ng ahensya")</f>
        <v>. Muling iginiit ng ahensya</v>
      </c>
      <c r="E414" s="3" t="str">
        <f>IFERROR(__xludf.DUMMYFUNCTION("INDEX(SPLIT($C414,"" ""), ROW()-ROW($E$399)+1)
"),"iginiit")</f>
        <v>iginiit</v>
      </c>
      <c r="F414" s="30" t="s">
        <v>16</v>
      </c>
      <c r="G414" s="2"/>
      <c r="H414" s="1" t="s">
        <v>0</v>
      </c>
      <c r="I414" s="2"/>
      <c r="J414" s="2"/>
      <c r="K414" s="1" t="s">
        <v>15</v>
      </c>
    </row>
    <row r="415" ht="15.75" customHeight="1">
      <c r="A415" s="1">
        <v>414.0</v>
      </c>
      <c r="B415" s="1">
        <v>12.0</v>
      </c>
      <c r="C415" s="4" t="s">
        <v>35</v>
      </c>
      <c r="D415" s="5" t="str">
        <f>IFERROR(__xludf.DUMMYFUNCTION("LET(
  words, TRANSPOSE(SPLIT($C415,""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)"),"Muling iginiit ng ahensya na")</f>
        <v>Muling iginiit ng ahensya na</v>
      </c>
      <c r="E415" s="3" t="str">
        <f>IFERROR(__xludf.DUMMYFUNCTION("INDEX(SPLIT($C415,"" ""), ROW()-ROW($E$399)+1)
"),"ng")</f>
        <v>ng</v>
      </c>
      <c r="F415" s="30" t="s">
        <v>16</v>
      </c>
      <c r="G415" s="2"/>
      <c r="H415" s="1" t="s">
        <v>0</v>
      </c>
      <c r="I415" s="2"/>
      <c r="J415" s="2"/>
      <c r="K415" s="1" t="s">
        <v>15</v>
      </c>
    </row>
    <row r="416" ht="15.75" customHeight="1">
      <c r="A416" s="1">
        <v>415.0</v>
      </c>
      <c r="B416" s="1">
        <v>12.0</v>
      </c>
      <c r="C416" s="4" t="s">
        <v>35</v>
      </c>
      <c r="D416" s="5" t="str">
        <f>IFERROR(__xludf.DUMMYFUNCTION("LET(
  words, TRANSPOSE(SPLIT($C416,""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)"),"iginiit ng ahensya na walang")</f>
        <v>iginiit ng ahensya na walang</v>
      </c>
      <c r="E416" s="3" t="str">
        <f>IFERROR(__xludf.DUMMYFUNCTION("INDEX(SPLIT($C416,"" ""), ROW()-ROW($E$399)+1)
"),"ahensya")</f>
        <v>ahensya</v>
      </c>
      <c r="F416" s="30" t="s">
        <v>16</v>
      </c>
      <c r="G416" s="2"/>
      <c r="H416" s="1" t="s">
        <v>0</v>
      </c>
      <c r="I416" s="2"/>
      <c r="J416" s="2"/>
      <c r="K416" s="1" t="s">
        <v>15</v>
      </c>
    </row>
    <row r="417" ht="15.75" customHeight="1">
      <c r="A417" s="1">
        <v>416.0</v>
      </c>
      <c r="B417" s="1">
        <v>12.0</v>
      </c>
      <c r="C417" s="4" t="s">
        <v>35</v>
      </c>
      <c r="D417" s="5" t="str">
        <f>IFERROR(__xludf.DUMMYFUNCTION("LET(
  words, TRANSPOSE(SPLIT($C417,""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)"),"ng ahensya na walang puwang")</f>
        <v>ng ahensya na walang puwang</v>
      </c>
      <c r="E417" s="3" t="str">
        <f>IFERROR(__xludf.DUMMYFUNCTION("INDEX(SPLIT($C417,"" ""), ROW()-ROW($E$399)+1)
"),"na")</f>
        <v>na</v>
      </c>
      <c r="F417" s="30" t="s">
        <v>16</v>
      </c>
      <c r="G417" s="2"/>
      <c r="H417" s="1" t="s">
        <v>0</v>
      </c>
      <c r="I417" s="2"/>
      <c r="J417" s="2"/>
      <c r="K417" s="1" t="s">
        <v>15</v>
      </c>
    </row>
    <row r="418" ht="15.75" customHeight="1">
      <c r="A418" s="1">
        <v>417.0</v>
      </c>
      <c r="B418" s="1">
        <v>12.0</v>
      </c>
      <c r="C418" s="4" t="s">
        <v>35</v>
      </c>
      <c r="D418" s="5" t="str">
        <f>IFERROR(__xludf.DUMMYFUNCTION("LET(
  words, TRANSPOSE(SPLIT($C418,""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)"),"ahensya na walang puwang sa")</f>
        <v>ahensya na walang puwang sa</v>
      </c>
      <c r="E418" s="3" t="str">
        <f>IFERROR(__xludf.DUMMYFUNCTION("INDEX(SPLIT($C418,"" ""), ROW()-ROW($E$399)+1)
"),"walang")</f>
        <v>walang</v>
      </c>
      <c r="F418" s="30" t="s">
        <v>16</v>
      </c>
      <c r="G418" s="2"/>
      <c r="H418" s="1" t="s">
        <v>0</v>
      </c>
      <c r="I418" s="2"/>
      <c r="J418" s="2"/>
      <c r="K418" s="1" t="s">
        <v>15</v>
      </c>
    </row>
    <row r="419" ht="15.75" customHeight="1">
      <c r="A419" s="1">
        <v>418.0</v>
      </c>
      <c r="B419" s="1">
        <v>12.0</v>
      </c>
      <c r="C419" s="4" t="s">
        <v>35</v>
      </c>
      <c r="D419" s="5" t="str">
        <f>IFERROR(__xludf.DUMMYFUNCTION("LET(
  words, TRANSPOSE(SPLIT($C419,""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walang puwang sa kalsada")</f>
        <v>na walang puwang sa kalsada</v>
      </c>
      <c r="E419" s="3" t="str">
        <f>IFERROR(__xludf.DUMMYFUNCTION("INDEX(SPLIT($C419,"" ""), ROW()-ROW($E$399)+1)
"),"puwang")</f>
        <v>puwang</v>
      </c>
      <c r="F419" s="30" t="s">
        <v>16</v>
      </c>
      <c r="G419" s="2"/>
      <c r="H419" s="1" t="s">
        <v>0</v>
      </c>
      <c r="I419" s="2"/>
      <c r="J419" s="2"/>
      <c r="K419" s="1" t="s">
        <v>15</v>
      </c>
    </row>
    <row r="420" ht="15.75" customHeight="1">
      <c r="A420" s="1">
        <v>419.0</v>
      </c>
      <c r="B420" s="1">
        <v>12.0</v>
      </c>
      <c r="C420" s="4" t="s">
        <v>35</v>
      </c>
      <c r="D420" s="5" t="str">
        <f>IFERROR(__xludf.DUMMYFUNCTION("LET(
  words, TRANSPOSE(SPLIT($C420,""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)"),"walang puwang sa kalsada ang")</f>
        <v>walang puwang sa kalsada ang</v>
      </c>
      <c r="E420" s="3" t="str">
        <f>IFERROR(__xludf.DUMMYFUNCTION("INDEX(SPLIT($C420,"" ""), ROW()-ROW($E$399)+1)
"),"sa")</f>
        <v>sa</v>
      </c>
      <c r="F420" s="30" t="s">
        <v>16</v>
      </c>
      <c r="G420" s="2"/>
      <c r="H420" s="1" t="s">
        <v>0</v>
      </c>
      <c r="I420" s="2"/>
      <c r="J420" s="2"/>
      <c r="K420" s="1" t="s">
        <v>15</v>
      </c>
    </row>
    <row r="421" ht="15.75" customHeight="1">
      <c r="A421" s="1">
        <v>420.0</v>
      </c>
      <c r="B421" s="1">
        <v>12.0</v>
      </c>
      <c r="C421" s="4" t="s">
        <v>35</v>
      </c>
      <c r="D421" s="5" t="str">
        <f>IFERROR(__xludf.DUMMYFUNCTION("LET(
  words, TRANSPOSE(SPLIT($C421,""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)"),"puwang sa kalsada ang mga")</f>
        <v>puwang sa kalsada ang mga</v>
      </c>
      <c r="E421" s="3" t="str">
        <f>IFERROR(__xludf.DUMMYFUNCTION("INDEX(SPLIT($C421,"" ""), ROW()-ROW($E$399)+1)
"),"kalsada")</f>
        <v>kalsada</v>
      </c>
      <c r="F421" s="30" t="s">
        <v>16</v>
      </c>
      <c r="G421" s="2"/>
      <c r="H421" s="1" t="s">
        <v>0</v>
      </c>
      <c r="I421" s="2"/>
      <c r="J421" s="2"/>
      <c r="K421" s="1" t="s">
        <v>15</v>
      </c>
    </row>
    <row r="422" ht="15.75" customHeight="1">
      <c r="A422" s="1">
        <v>421.0</v>
      </c>
      <c r="B422" s="1">
        <v>12.0</v>
      </c>
      <c r="C422" s="4" t="s">
        <v>35</v>
      </c>
      <c r="D422" s="5" t="str">
        <f>IFERROR(__xludf.DUMMYFUNCTION("LET(
  words, TRANSPOSE(SPLIT($C422,""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kalsada ang mga iresponsableng")</f>
        <v>sa kalsada ang mga iresponsableng</v>
      </c>
      <c r="E422" s="3" t="str">
        <f>IFERROR(__xludf.DUMMYFUNCTION("INDEX(SPLIT($C422,"" ""), ROW()-ROW($E$399)+1)
"),"ang")</f>
        <v>ang</v>
      </c>
      <c r="F422" s="30" t="s">
        <v>16</v>
      </c>
      <c r="G422" s="2"/>
      <c r="H422" s="1" t="s">
        <v>0</v>
      </c>
      <c r="I422" s="2"/>
      <c r="J422" s="2"/>
      <c r="K422" s="1" t="s">
        <v>15</v>
      </c>
    </row>
    <row r="423" ht="15.75" customHeight="1">
      <c r="A423" s="1">
        <v>422.0</v>
      </c>
      <c r="B423" s="1">
        <v>12.0</v>
      </c>
      <c r="C423" s="4" t="s">
        <v>35</v>
      </c>
      <c r="D423" s="5" t="str">
        <f>IFERROR(__xludf.DUMMYFUNCTION("LET(
  words, TRANSPOSE(SPLIT($C423,""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)"),"kalsada ang mga iresponsableng motorista")</f>
        <v>kalsada ang mga iresponsableng motorista</v>
      </c>
      <c r="E423" s="3" t="str">
        <f>IFERROR(__xludf.DUMMYFUNCTION("INDEX(SPLIT($C423,"" ""), ROW()-ROW($E$399)+1)
"),"mga")</f>
        <v>mga</v>
      </c>
      <c r="F423" s="30" t="s">
        <v>16</v>
      </c>
      <c r="G423" s="2"/>
      <c r="H423" s="1" t="s">
        <v>0</v>
      </c>
      <c r="I423" s="2"/>
      <c r="J423" s="2"/>
      <c r="K423" s="1" t="s">
        <v>15</v>
      </c>
    </row>
    <row r="424" ht="15.75" customHeight="1">
      <c r="A424" s="1">
        <v>423.0</v>
      </c>
      <c r="B424" s="1">
        <v>12.0</v>
      </c>
      <c r="C424" s="4" t="s">
        <v>35</v>
      </c>
      <c r="D424" s="5" t="str">
        <f>IFERROR(__xludf.DUMMYFUNCTION("LET(
  words, TRANSPOSE(SPLIT($C424,""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mga iresponsableng motorista at")</f>
        <v>ang mga iresponsableng motorista at</v>
      </c>
      <c r="E424" s="3" t="str">
        <f>IFERROR(__xludf.DUMMYFUNCTION("INDEX(SPLIT($C424,"" ""), ROW()-ROW($E$399)+1)
"),"iresponsableng")</f>
        <v>iresponsableng</v>
      </c>
      <c r="F424" s="30" t="s">
        <v>16</v>
      </c>
      <c r="G424" s="2"/>
      <c r="H424" s="1" t="s">
        <v>0</v>
      </c>
      <c r="I424" s="2"/>
      <c r="J424" s="2"/>
      <c r="K424" s="1" t="s">
        <v>15</v>
      </c>
    </row>
    <row r="425" ht="15.75" customHeight="1">
      <c r="A425" s="1">
        <v>424.0</v>
      </c>
      <c r="B425" s="1">
        <v>12.0</v>
      </c>
      <c r="C425" s="4" t="s">
        <v>35</v>
      </c>
      <c r="D425" s="5" t="str">
        <f>IFERROR(__xludf.DUMMYFUNCTION("LET(
  words, TRANSPOSE(SPLIT($C425,""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)"),"mga iresponsableng motorista at ipatutupad")</f>
        <v>mga iresponsableng motorista at ipatutupad</v>
      </c>
      <c r="E425" s="3" t="str">
        <f>IFERROR(__xludf.DUMMYFUNCTION("INDEX(SPLIT($C425,"" ""), ROW()-ROW($E$399)+1)
"),"motorista")</f>
        <v>motorista</v>
      </c>
      <c r="F425" s="30" t="s">
        <v>16</v>
      </c>
      <c r="G425" s="2"/>
      <c r="H425" s="1" t="s">
        <v>0</v>
      </c>
      <c r="I425" s="2"/>
      <c r="J425" s="2"/>
      <c r="K425" s="1" t="s">
        <v>15</v>
      </c>
    </row>
    <row r="426" ht="15.75" customHeight="1">
      <c r="A426" s="1">
        <v>425.0</v>
      </c>
      <c r="B426" s="1">
        <v>12.0</v>
      </c>
      <c r="C426" s="4" t="s">
        <v>35</v>
      </c>
      <c r="D426" s="5" t="str">
        <f>IFERROR(__xludf.DUMMYFUNCTION("LET(
  words, TRANSPOSE(SPLIT($C426,""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)"),"iresponsableng motorista at ipatutupad ang")</f>
        <v>iresponsableng motorista at ipatutupad ang</v>
      </c>
      <c r="E426" s="3" t="str">
        <f>IFERROR(__xludf.DUMMYFUNCTION("INDEX(SPLIT($C426,"" ""), ROW()-ROW($E$399)+1)
"),"at")</f>
        <v>at</v>
      </c>
      <c r="F426" s="30" t="s">
        <v>16</v>
      </c>
      <c r="G426" s="2"/>
      <c r="H426" s="1" t="s">
        <v>0</v>
      </c>
      <c r="I426" s="2"/>
      <c r="J426" s="2"/>
      <c r="K426" s="1" t="s">
        <v>15</v>
      </c>
    </row>
    <row r="427" ht="15.75" customHeight="1">
      <c r="A427" s="1">
        <v>426.0</v>
      </c>
      <c r="B427" s="1">
        <v>12.0</v>
      </c>
      <c r="C427" s="4" t="s">
        <v>35</v>
      </c>
      <c r="D427" s="5" t="str">
        <f>IFERROR(__xludf.DUMMYFUNCTION("LET(
  words, TRANSPOSE(SPLIT($C427,""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)"),"motorista at ipatutupad ang batas")</f>
        <v>motorista at ipatutupad ang batas</v>
      </c>
      <c r="E427" s="3" t="str">
        <f>IFERROR(__xludf.DUMMYFUNCTION("INDEX(SPLIT($C427,"" ""), ROW()-ROW($E$399)+1)
"),"ipatutupad")</f>
        <v>ipatutupad</v>
      </c>
      <c r="F427" s="30" t="s">
        <v>16</v>
      </c>
      <c r="G427" s="2"/>
      <c r="H427" s="1" t="s">
        <v>0</v>
      </c>
      <c r="I427" s="2"/>
      <c r="J427" s="2"/>
      <c r="K427" s="1" t="s">
        <v>15</v>
      </c>
    </row>
    <row r="428" ht="15.75" customHeight="1">
      <c r="A428" s="1">
        <v>427.0</v>
      </c>
      <c r="B428" s="1">
        <v>12.0</v>
      </c>
      <c r="C428" s="4" t="s">
        <v>35</v>
      </c>
      <c r="D428" s="5" t="str">
        <f>IFERROR(__xludf.DUMMYFUNCTION("LET(
  words, TRANSPOSE(SPLIT($C428,""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)"),"at ipatutupad ang batas sa")</f>
        <v>at ipatutupad ang batas sa</v>
      </c>
      <c r="E428" s="3" t="str">
        <f>IFERROR(__xludf.DUMMYFUNCTION("INDEX(SPLIT($C428,"" ""), ROW()-ROW($E$399)+1)
"),"ang")</f>
        <v>ang</v>
      </c>
      <c r="F428" s="30" t="s">
        <v>16</v>
      </c>
      <c r="G428" s="2"/>
      <c r="H428" s="1" t="s">
        <v>0</v>
      </c>
      <c r="I428" s="2"/>
      <c r="J428" s="2"/>
      <c r="K428" s="1" t="s">
        <v>15</v>
      </c>
    </row>
    <row r="429" ht="15.75" customHeight="1">
      <c r="A429" s="1">
        <v>428.0</v>
      </c>
      <c r="B429" s="1">
        <v>12.0</v>
      </c>
      <c r="C429" s="4" t="s">
        <v>35</v>
      </c>
      <c r="D429" s="5" t="str">
        <f>IFERROR(__xludf.DUMMYFUNCTION("LET(
  words, TRANSPOSE(SPLIT($C429,""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)"),"ipatutupad ang batas sa lahat")</f>
        <v>ipatutupad ang batas sa lahat</v>
      </c>
      <c r="E429" s="3" t="str">
        <f>IFERROR(__xludf.DUMMYFUNCTION("INDEX(SPLIT($C429,"" ""), ROW()-ROW($E$399)+1)
"),"batas")</f>
        <v>batas</v>
      </c>
      <c r="F429" s="30" t="s">
        <v>16</v>
      </c>
      <c r="G429" s="2"/>
      <c r="H429" s="1" t="s">
        <v>0</v>
      </c>
      <c r="I429" s="2"/>
      <c r="J429" s="2"/>
      <c r="K429" s="1" t="s">
        <v>15</v>
      </c>
    </row>
    <row r="430" ht="15.75" customHeight="1">
      <c r="A430" s="1">
        <v>429.0</v>
      </c>
      <c r="B430" s="1">
        <v>12.0</v>
      </c>
      <c r="C430" s="4" t="s">
        <v>35</v>
      </c>
      <c r="D430" s="5" t="str">
        <f>IFERROR(__xludf.DUMMYFUNCTION("LET(
  words, TRANSPOSE(SPLIT($C430,""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batas sa lahat ng")</f>
        <v>ang batas sa lahat ng</v>
      </c>
      <c r="E430" s="3" t="str">
        <f>IFERROR(__xludf.DUMMYFUNCTION("INDEX(SPLIT($C430,"" ""), ROW()-ROW($E$399)+1)
"),"sa")</f>
        <v>sa</v>
      </c>
      <c r="F430" s="30" t="s">
        <v>16</v>
      </c>
      <c r="G430" s="2"/>
      <c r="H430" s="1" t="s">
        <v>0</v>
      </c>
      <c r="I430" s="2"/>
      <c r="J430" s="2"/>
      <c r="K430" s="1" t="s">
        <v>15</v>
      </c>
    </row>
    <row r="431" ht="15.75" customHeight="1">
      <c r="A431" s="1">
        <v>430.0</v>
      </c>
      <c r="B431" s="1">
        <v>12.0</v>
      </c>
      <c r="C431" s="4" t="s">
        <v>35</v>
      </c>
      <c r="D431" s="5" t="str">
        <f>IFERROR(__xludf.DUMMYFUNCTION("LET(
  words, TRANSPOSE(SPLIT($C431,""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)"),"batas sa lahat ng pagkakataon")</f>
        <v>batas sa lahat ng pagkakataon</v>
      </c>
      <c r="E431" s="3" t="str">
        <f>IFERROR(__xludf.DUMMYFUNCTION("INDEX(SPLIT($C431,"" ""), ROW()-ROW($E$399)+1)
"),"lahat")</f>
        <v>lahat</v>
      </c>
      <c r="F431" s="30" t="s">
        <v>16</v>
      </c>
      <c r="G431" s="2"/>
      <c r="H431" s="1" t="s">
        <v>0</v>
      </c>
      <c r="I431" s="2"/>
      <c r="J431" s="2"/>
      <c r="K431" s="1" t="s">
        <v>15</v>
      </c>
    </row>
    <row r="432" ht="15.75" customHeight="1">
      <c r="A432" s="1">
        <v>431.0</v>
      </c>
      <c r="B432" s="1">
        <v>12.0</v>
      </c>
      <c r="C432" s="4" t="s">
        <v>35</v>
      </c>
      <c r="D432" s="5" t="str">
        <f>IFERROR(__xludf.DUMMYFUNCTION("LET(
  words, TRANSPOSE(SPLIT($C432,""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lahat ng pagkakataon .")</f>
        <v>sa lahat ng pagkakataon .</v>
      </c>
      <c r="E432" s="3" t="str">
        <f>IFERROR(__xludf.DUMMYFUNCTION("INDEX(SPLIT($C432,"" ""), ROW()-ROW($E$399)+1)
"),"ng")</f>
        <v>ng</v>
      </c>
      <c r="F432" s="30" t="s">
        <v>16</v>
      </c>
      <c r="G432" s="2"/>
      <c r="H432" s="1" t="s">
        <v>0</v>
      </c>
      <c r="I432" s="2"/>
      <c r="J432" s="2"/>
      <c r="K432" s="1" t="s">
        <v>15</v>
      </c>
    </row>
    <row r="433" ht="15.75" customHeight="1">
      <c r="A433" s="1">
        <v>432.0</v>
      </c>
      <c r="B433" s="1">
        <v>12.0</v>
      </c>
      <c r="C433" s="4" t="s">
        <v>35</v>
      </c>
      <c r="D433" s="5" t="str">
        <f>IFERROR(__xludf.DUMMYFUNCTION("LET(
  words, TRANSPOSE(SPLIT($C433,""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)"),"lahat ng pagkakataon .")</f>
        <v>lahat ng pagkakataon .</v>
      </c>
      <c r="E433" s="3" t="str">
        <f>IFERROR(__xludf.DUMMYFUNCTION("INDEX(SPLIT($C433,"" ""), ROW()-ROW($E$399)+1)
"),"pagkakataon")</f>
        <v>pagkakataon</v>
      </c>
      <c r="F433" s="30" t="s">
        <v>16</v>
      </c>
      <c r="G433" s="2"/>
      <c r="H433" s="1" t="s">
        <v>0</v>
      </c>
      <c r="I433" s="2"/>
      <c r="J433" s="2"/>
      <c r="K433" s="1" t="s">
        <v>15</v>
      </c>
    </row>
    <row r="434" ht="15.75" customHeight="1">
      <c r="A434" s="10">
        <v>433.0</v>
      </c>
      <c r="B434" s="10">
        <v>12.0</v>
      </c>
      <c r="C434" s="7" t="s">
        <v>35</v>
      </c>
      <c r="D434" s="8" t="str">
        <f>IFERROR(__xludf.DUMMYFUNCTION("LET(
  words, TRANSPOSE(SPLIT($C434,"" "")),
  n, ROWS(words),
  i, ROW() - ROW($D$399)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)"),"ng pagkakataon .")</f>
        <v>ng pagkakataon .</v>
      </c>
      <c r="E434" s="9" t="str">
        <f>IFERROR(__xludf.DUMMYFUNCTION("INDEX(SPLIT($C434,"" ""), ROW()-ROW($E$399)+1)
"),".")</f>
        <v>.</v>
      </c>
      <c r="F434" s="32" t="s">
        <v>17</v>
      </c>
      <c r="G434" s="6"/>
      <c r="H434" s="10" t="s">
        <v>0</v>
      </c>
      <c r="I434" s="6"/>
      <c r="J434" s="6"/>
      <c r="K434" s="10" t="s">
        <v>15</v>
      </c>
      <c r="L434" s="6"/>
    </row>
    <row r="435" ht="15.75" customHeight="1">
      <c r="A435" s="1">
        <v>434.0</v>
      </c>
      <c r="B435" s="1">
        <v>13.0</v>
      </c>
      <c r="C435" s="4" t="s">
        <v>36</v>
      </c>
      <c r="D435" s="5" t="str">
        <f>IFERROR(__xludf.DUMMYFUNCTION("LET(
  words, TRANSPOSE(SPLIT($C435,"" "")),
  n, ROWS(words),
  i, ROW() - ROW($D$435)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)"),"ooooh busy ka")</f>
        <v>ooooh busy ka</v>
      </c>
      <c r="E435" s="3" t="str">
        <f>IFERROR(__xludf.DUMMYFUNCTION("INDEX(SPLIT($C435,"" ""), ROW()-ROW($E$435)+1)
"),"ooooh")</f>
        <v>ooooh</v>
      </c>
      <c r="F435" s="30" t="s">
        <v>13</v>
      </c>
      <c r="G435" s="1" t="s">
        <v>14</v>
      </c>
      <c r="H435" s="1" t="s">
        <v>0</v>
      </c>
      <c r="I435" s="2"/>
      <c r="J435" s="2"/>
      <c r="K435" s="1" t="s">
        <v>15</v>
      </c>
    </row>
    <row r="436" ht="15.75" customHeight="1">
      <c r="A436" s="1">
        <v>435.0</v>
      </c>
      <c r="B436" s="1">
        <v>13.0</v>
      </c>
      <c r="C436" s="4" t="s">
        <v>36</v>
      </c>
      <c r="D436" s="5" t="str">
        <f>IFERROR(__xludf.DUMMYFUNCTION("LET(
  words, TRANSPOSE(SPLIT($C436,"" "")),
  n, ROWS(words),
  i, ROW() - ROW($D$435)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)"),"ooooh busy ka ba")</f>
        <v>ooooh busy ka ba</v>
      </c>
      <c r="E436" s="3" t="str">
        <f>IFERROR(__xludf.DUMMYFUNCTION("INDEX(SPLIT($C436,"" ""), ROW()-ROW($E$435)+1)
"),"busy")</f>
        <v>busy</v>
      </c>
      <c r="F436" s="30" t="s">
        <v>18</v>
      </c>
      <c r="G436" s="2"/>
      <c r="H436" s="1" t="s">
        <v>0</v>
      </c>
      <c r="I436" s="2"/>
      <c r="J436" s="2"/>
      <c r="K436" s="1" t="s">
        <v>15</v>
      </c>
    </row>
    <row r="437" ht="15.75" customHeight="1">
      <c r="A437" s="1">
        <v>436.0</v>
      </c>
      <c r="B437" s="1">
        <v>13.0</v>
      </c>
      <c r="C437" s="4" t="s">
        <v>36</v>
      </c>
      <c r="D437" s="5" t="str">
        <f>IFERROR(__xludf.DUMMYFUNCTION("LET(
  words, TRANSPOSE(SPLIT($C437,"" "")),
  n, ROWS(words),
  i, ROW() - ROW($D$435)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)"),"ooooh busy ka ba sobra")</f>
        <v>ooooh busy ka ba sobra</v>
      </c>
      <c r="E437" s="3" t="str">
        <f>IFERROR(__xludf.DUMMYFUNCTION("INDEX(SPLIT($C437,"" ""), ROW()-ROW($E$435)+1)
"),"ka")</f>
        <v>ka</v>
      </c>
      <c r="F437" s="30" t="s">
        <v>16</v>
      </c>
      <c r="G437" s="2"/>
      <c r="H437" s="1" t="s">
        <v>0</v>
      </c>
      <c r="I437" s="2"/>
      <c r="J437" s="2"/>
      <c r="K437" s="1" t="s">
        <v>15</v>
      </c>
    </row>
    <row r="438" ht="15.75" customHeight="1">
      <c r="A438" s="1">
        <v>437.0</v>
      </c>
      <c r="B438" s="1">
        <v>13.0</v>
      </c>
      <c r="C438" s="4" t="s">
        <v>36</v>
      </c>
      <c r="D438" s="5" t="str">
        <f>IFERROR(__xludf.DUMMYFUNCTION("LET(
  words, TRANSPOSE(SPLIT($C438,"" "")),
  n, ROWS(words),
  i, ROW() - ROW($D$435)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)"),"busy ka ba sobra ?")</f>
        <v>busy ka ba sobra ?</v>
      </c>
      <c r="E438" s="3" t="str">
        <f>IFERROR(__xludf.DUMMYFUNCTION("INDEX(SPLIT($C438,"" ""), ROW()-ROW($E$435)+1)
"),"ba")</f>
        <v>ba</v>
      </c>
      <c r="F438" s="30" t="s">
        <v>16</v>
      </c>
      <c r="G438" s="2"/>
      <c r="H438" s="1" t="s">
        <v>0</v>
      </c>
      <c r="I438" s="2"/>
      <c r="J438" s="2"/>
      <c r="K438" s="1" t="s">
        <v>15</v>
      </c>
    </row>
    <row r="439" ht="15.75" customHeight="1">
      <c r="A439" s="1">
        <v>438.0</v>
      </c>
      <c r="B439" s="1">
        <v>13.0</v>
      </c>
      <c r="C439" s="4" t="s">
        <v>36</v>
      </c>
      <c r="D439" s="5" t="str">
        <f>IFERROR(__xludf.DUMMYFUNCTION("LET(
  words, TRANSPOSE(SPLIT($C439,"" "")),
  n, ROWS(words),
  i, ROW() - ROW($D$435)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 ba sobra ? let")</f>
        <v>ka ba sobra ? let</v>
      </c>
      <c r="E439" s="3" t="str">
        <f>IFERROR(__xludf.DUMMYFUNCTION("INDEX(SPLIT($C439,"" ""), ROW()-ROW($E$435)+1)
"),"sobra")</f>
        <v>sobra</v>
      </c>
      <c r="F439" s="30" t="s">
        <v>16</v>
      </c>
      <c r="G439" s="2"/>
      <c r="H439" s="1" t="s">
        <v>0</v>
      </c>
      <c r="I439" s="2"/>
      <c r="J439" s="2"/>
      <c r="K439" s="1" t="s">
        <v>15</v>
      </c>
    </row>
    <row r="440" ht="15.75" customHeight="1">
      <c r="A440" s="1">
        <v>439.0</v>
      </c>
      <c r="B440" s="1">
        <v>13.0</v>
      </c>
      <c r="C440" s="4" t="s">
        <v>36</v>
      </c>
      <c r="D440" s="5" t="str">
        <f>IFERROR(__xludf.DUMMYFUNCTION("LET(
  words, TRANSPOSE(SPLIT($C440,"" "")),
  n, ROWS(words),
  i, ROW() - ROW($D$435)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)"),"ba sobra ? let us")</f>
        <v>ba sobra ? let us</v>
      </c>
      <c r="E440" s="3" t="str">
        <f>IFERROR(__xludf.DUMMYFUNCTION("INDEX(SPLIT($C440,"" ""), ROW()-ROW($E$435)+1)
"),"?")</f>
        <v>?</v>
      </c>
      <c r="F440" s="30" t="s">
        <v>17</v>
      </c>
      <c r="G440" s="2"/>
      <c r="H440" s="1" t="s">
        <v>0</v>
      </c>
      <c r="I440" s="2"/>
      <c r="J440" s="2"/>
      <c r="K440" s="1" t="s">
        <v>15</v>
      </c>
    </row>
    <row r="441" ht="15.75" customHeight="1">
      <c r="A441" s="1">
        <v>440.0</v>
      </c>
      <c r="B441" s="1">
        <v>13.0</v>
      </c>
      <c r="C441" s="4" t="s">
        <v>36</v>
      </c>
      <c r="D441" s="5" t="str">
        <f>IFERROR(__xludf.DUMMYFUNCTION("LET(
  words, TRANSPOSE(SPLIT($C441,"" "")),
  n, ROWS(words),
  i, ROW() - ROW($D$435)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)"),"sobra ? let us know")</f>
        <v>sobra ? let us know</v>
      </c>
      <c r="E441" s="3" t="str">
        <f>IFERROR(__xludf.DUMMYFUNCTION("INDEX(SPLIT($C441,"" ""), ROW()-ROW($E$435)+1)
"),"let")</f>
        <v>let</v>
      </c>
      <c r="F441" s="30" t="s">
        <v>18</v>
      </c>
      <c r="G441" s="2"/>
      <c r="H441" s="1" t="s">
        <v>0</v>
      </c>
      <c r="I441" s="2"/>
      <c r="J441" s="2"/>
      <c r="K441" s="1" t="s">
        <v>15</v>
      </c>
    </row>
    <row r="442" ht="15.75" customHeight="1">
      <c r="A442" s="1">
        <v>441.0</v>
      </c>
      <c r="B442" s="1">
        <v>13.0</v>
      </c>
      <c r="C442" s="4" t="s">
        <v>36</v>
      </c>
      <c r="D442" s="5" t="str">
        <f>IFERROR(__xludf.DUMMYFUNCTION("LET(
  words, TRANSPOSE(SPLIT($C442,"" "")),
  n, ROWS(words),
  i, ROW() - ROW($D$435)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)"),"? let us know para")</f>
        <v>? let us know para</v>
      </c>
      <c r="E442" s="3" t="str">
        <f>IFERROR(__xludf.DUMMYFUNCTION("INDEX(SPLIT($C442,"" ""), ROW()-ROW($E$435)+1)
"),"us")</f>
        <v>us</v>
      </c>
      <c r="F442" s="30" t="s">
        <v>18</v>
      </c>
      <c r="G442" s="2"/>
      <c r="H442" s="1" t="s">
        <v>0</v>
      </c>
      <c r="I442" s="2"/>
      <c r="J442" s="2"/>
      <c r="K442" s="1" t="s">
        <v>15</v>
      </c>
    </row>
    <row r="443" ht="15.75" customHeight="1">
      <c r="A443" s="1">
        <v>442.0</v>
      </c>
      <c r="B443" s="1">
        <v>13.0</v>
      </c>
      <c r="C443" s="4" t="s">
        <v>36</v>
      </c>
      <c r="D443" s="5" t="str">
        <f>IFERROR(__xludf.DUMMYFUNCTION("LET(
  words, TRANSPOSE(SPLIT($C443,"" "")),
  n, ROWS(words),
  i, ROW() - ROW($D$435)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)"),"let us know para makaarrange")</f>
        <v>let us know para makaarrange</v>
      </c>
      <c r="E443" s="3" t="str">
        <f>IFERROR(__xludf.DUMMYFUNCTION("INDEX(SPLIT($C443,"" ""), ROW()-ROW($E$435)+1)
"),"know")</f>
        <v>know</v>
      </c>
      <c r="F443" s="30" t="s">
        <v>18</v>
      </c>
      <c r="G443" s="2"/>
      <c r="H443" s="1" t="s">
        <v>0</v>
      </c>
      <c r="I443" s="2"/>
      <c r="J443" s="2"/>
      <c r="K443" s="1" t="s">
        <v>15</v>
      </c>
    </row>
    <row r="444" ht="15.75" customHeight="1">
      <c r="A444" s="1">
        <v>443.0</v>
      </c>
      <c r="B444" s="1">
        <v>13.0</v>
      </c>
      <c r="C444" s="4" t="s">
        <v>36</v>
      </c>
      <c r="D444" s="5" t="str">
        <f>IFERROR(__xludf.DUMMYFUNCTION("LET(
  words, TRANSPOSE(SPLIT($C444,"" "")),
  n, ROWS(words),
  i, ROW() - ROW($D$435)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)"),"us know para makaarrange tayo")</f>
        <v>us know para makaarrange tayo</v>
      </c>
      <c r="E444" s="3" t="str">
        <f>IFERROR(__xludf.DUMMYFUNCTION("INDEX(SPLIT($C444,"" ""), ROW()-ROW($E$435)+1)
"),"para")</f>
        <v>para</v>
      </c>
      <c r="F444" s="30" t="s">
        <v>16</v>
      </c>
      <c r="G444" s="2"/>
      <c r="H444" s="1" t="s">
        <v>0</v>
      </c>
      <c r="I444" s="2"/>
      <c r="J444" s="2"/>
      <c r="K444" s="1" t="s">
        <v>15</v>
      </c>
    </row>
    <row r="445" ht="15.75" customHeight="1">
      <c r="A445" s="1">
        <v>444.0</v>
      </c>
      <c r="B445" s="1">
        <v>13.0</v>
      </c>
      <c r="C445" s="4" t="s">
        <v>36</v>
      </c>
      <c r="D445" s="5" t="str">
        <f>IFERROR(__xludf.DUMMYFUNCTION("LET(
  words, TRANSPOSE(SPLIT($C445,"" "")),
  n, ROWS(words),
  i, ROW() - ROW($D$435)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)"),"know para makaarrange tayo kahit")</f>
        <v>know para makaarrange tayo kahit</v>
      </c>
      <c r="E445" s="3" t="str">
        <f>IFERROR(__xludf.DUMMYFUNCTION("INDEX(SPLIT($C445,"" ""), ROW()-ROW($E$435)+1)
"),"makaarrange")</f>
        <v>makaarrange</v>
      </c>
      <c r="F445" s="30" t="s">
        <v>23</v>
      </c>
      <c r="G445" s="2"/>
      <c r="H445" s="1" t="s">
        <v>0</v>
      </c>
      <c r="I445" s="2"/>
      <c r="J445" s="2"/>
      <c r="K445" s="1" t="s">
        <v>15</v>
      </c>
    </row>
    <row r="446" ht="15.75" customHeight="1">
      <c r="A446" s="1">
        <v>445.0</v>
      </c>
      <c r="B446" s="1">
        <v>13.0</v>
      </c>
      <c r="C446" s="4" t="s">
        <v>36</v>
      </c>
      <c r="D446" s="5" t="str">
        <f>IFERROR(__xludf.DUMMYFUNCTION("LET(
  words, TRANSPOSE(SPLIT($C446,"" "")),
  n, ROWS(words),
  i, ROW() - ROW($D$435)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)"),"para makaarrange tayo kahit quick")</f>
        <v>para makaarrange tayo kahit quick</v>
      </c>
      <c r="E446" s="3" t="str">
        <f>IFERROR(__xludf.DUMMYFUNCTION("INDEX(SPLIT($C446,"" ""), ROW()-ROW($E$435)+1)
"),"tayo")</f>
        <v>tayo</v>
      </c>
      <c r="F446" s="30" t="s">
        <v>16</v>
      </c>
      <c r="G446" s="2"/>
      <c r="H446" s="1" t="s">
        <v>0</v>
      </c>
      <c r="I446" s="2"/>
      <c r="J446" s="2"/>
      <c r="K446" s="1" t="s">
        <v>15</v>
      </c>
    </row>
    <row r="447" ht="15.75" customHeight="1">
      <c r="A447" s="1">
        <v>446.0</v>
      </c>
      <c r="B447" s="1">
        <v>13.0</v>
      </c>
      <c r="C447" s="4" t="s">
        <v>36</v>
      </c>
      <c r="D447" s="5" t="str">
        <f>IFERROR(__xludf.DUMMYFUNCTION("LET(
  words, TRANSPOSE(SPLIT($C447,"" "")),
  n, ROWS(words),
  i, ROW() - ROW($D$435)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)"),"makaarrange tayo kahit quick sesh")</f>
        <v>makaarrange tayo kahit quick sesh</v>
      </c>
      <c r="E447" s="3" t="str">
        <f>IFERROR(__xludf.DUMMYFUNCTION("INDEX(SPLIT($C447,"" ""), ROW()-ROW($E$435)+1)
"),"kahit")</f>
        <v>kahit</v>
      </c>
      <c r="F447" s="30" t="s">
        <v>16</v>
      </c>
      <c r="G447" s="2"/>
      <c r="H447" s="1" t="s">
        <v>0</v>
      </c>
      <c r="I447" s="2"/>
      <c r="J447" s="2"/>
      <c r="K447" s="1" t="s">
        <v>15</v>
      </c>
    </row>
    <row r="448" ht="15.75" customHeight="1">
      <c r="A448" s="1">
        <v>447.0</v>
      </c>
      <c r="B448" s="1">
        <v>13.0</v>
      </c>
      <c r="C448" s="4" t="s">
        <v>36</v>
      </c>
      <c r="D448" s="5" t="str">
        <f>IFERROR(__xludf.DUMMYFUNCTION("LET(
  words, TRANSPOSE(SPLIT($C448,"" "")),
  n, ROWS(words),
  i, ROW() - ROW($D$435)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)"),"tayo kahit quick sesh lang")</f>
        <v>tayo kahit quick sesh lang</v>
      </c>
      <c r="E448" s="3" t="str">
        <f>IFERROR(__xludf.DUMMYFUNCTION("INDEX(SPLIT($C448,"" ""), ROW()-ROW($E$435)+1)
"),"quick")</f>
        <v>quick</v>
      </c>
      <c r="F448" s="30" t="s">
        <v>18</v>
      </c>
      <c r="G448" s="2"/>
      <c r="H448" s="1" t="s">
        <v>0</v>
      </c>
      <c r="I448" s="2"/>
      <c r="J448" s="2"/>
      <c r="K448" s="1" t="s">
        <v>15</v>
      </c>
    </row>
    <row r="449" ht="15.75" customHeight="1">
      <c r="A449" s="1">
        <v>448.0</v>
      </c>
      <c r="B449" s="1">
        <v>13.0</v>
      </c>
      <c r="C449" s="4" t="s">
        <v>36</v>
      </c>
      <c r="D449" s="5" t="str">
        <f>IFERROR(__xludf.DUMMYFUNCTION("LET(
  words, TRANSPOSE(SPLIT($C449,"" "")),
  n, ROWS(words),
  i, ROW() - ROW($D$435)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)"),"kahit quick sesh lang ,")</f>
        <v>kahit quick sesh lang ,</v>
      </c>
      <c r="E449" s="3" t="str">
        <f>IFERROR(__xludf.DUMMYFUNCTION("INDEX(SPLIT($C449,"" ""), ROW()-ROW($E$435)+1)
"),"sesh")</f>
        <v>sesh</v>
      </c>
      <c r="F449" s="30" t="s">
        <v>18</v>
      </c>
      <c r="G449" s="1" t="s">
        <v>19</v>
      </c>
      <c r="H449" s="1" t="s">
        <v>0</v>
      </c>
      <c r="I449" s="2"/>
      <c r="J449" s="2"/>
      <c r="K449" s="1" t="s">
        <v>15</v>
      </c>
    </row>
    <row r="450" ht="15.75" customHeight="1">
      <c r="A450" s="1">
        <v>449.0</v>
      </c>
      <c r="B450" s="1">
        <v>13.0</v>
      </c>
      <c r="C450" s="4" t="s">
        <v>36</v>
      </c>
      <c r="D450" s="5" t="str">
        <f>IFERROR(__xludf.DUMMYFUNCTION("LET(
  words, TRANSPOSE(SPLIT($C450,"" "")),
  n, ROWS(words),
  i, ROW() - ROW($D$435)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)"),"quick sesh lang , we")</f>
        <v>quick sesh lang , we</v>
      </c>
      <c r="E450" s="3" t="str">
        <f>IFERROR(__xludf.DUMMYFUNCTION("INDEX(SPLIT($C450,"" ""), ROW()-ROW($E$435)+1)
"),"lang")</f>
        <v>lang</v>
      </c>
      <c r="F450" s="30" t="s">
        <v>16</v>
      </c>
      <c r="G450" s="2"/>
      <c r="H450" s="1" t="s">
        <v>0</v>
      </c>
      <c r="I450" s="2"/>
      <c r="J450" s="2"/>
      <c r="K450" s="1" t="s">
        <v>15</v>
      </c>
    </row>
    <row r="451" ht="15.75" customHeight="1">
      <c r="A451" s="1">
        <v>450.0</v>
      </c>
      <c r="B451" s="1">
        <v>13.0</v>
      </c>
      <c r="C451" s="4" t="s">
        <v>36</v>
      </c>
      <c r="D451" s="5" t="str">
        <f>IFERROR(__xludf.DUMMYFUNCTION("LET(
  words, TRANSPOSE(SPLIT($C451,"" "")),
  n, ROWS(words),
  i, ROW() - ROW($D$435)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)"),"sesh lang , we miss")</f>
        <v>sesh lang , we miss</v>
      </c>
      <c r="E451" s="3" t="str">
        <f>IFERROR(__xludf.DUMMYFUNCTION("INDEX(SPLIT($C451,"" ""), ROW()-ROW($E$435)+1)
"),",")</f>
        <v>,</v>
      </c>
      <c r="F451" s="30" t="s">
        <v>17</v>
      </c>
      <c r="G451" s="2"/>
      <c r="H451" s="1" t="s">
        <v>0</v>
      </c>
      <c r="I451" s="2"/>
      <c r="J451" s="2"/>
      <c r="K451" s="1" t="s">
        <v>15</v>
      </c>
    </row>
    <row r="452" ht="15.75" customHeight="1">
      <c r="A452" s="1">
        <v>451.0</v>
      </c>
      <c r="B452" s="1">
        <v>13.0</v>
      </c>
      <c r="C452" s="4" t="s">
        <v>36</v>
      </c>
      <c r="D452" s="5" t="str">
        <f>IFERROR(__xludf.DUMMYFUNCTION("LET(
  words, TRANSPOSE(SPLIT($C452,"" "")),
  n, ROWS(words),
  i, ROW() - ROW($D$435)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)"),"lang , we miss u")</f>
        <v>lang , we miss u</v>
      </c>
      <c r="E452" s="3" t="str">
        <f>IFERROR(__xludf.DUMMYFUNCTION("INDEX(SPLIT($C452,"" ""), ROW()-ROW($E$435)+1)
"),"we")</f>
        <v>we</v>
      </c>
      <c r="F452" s="30" t="s">
        <v>18</v>
      </c>
      <c r="G452" s="2"/>
      <c r="H452" s="1" t="s">
        <v>0</v>
      </c>
      <c r="I452" s="2"/>
      <c r="J452" s="2"/>
      <c r="K452" s="1" t="s">
        <v>15</v>
      </c>
    </row>
    <row r="453" ht="15.75" customHeight="1">
      <c r="A453" s="1">
        <v>452.0</v>
      </c>
      <c r="B453" s="1">
        <v>13.0</v>
      </c>
      <c r="C453" s="4" t="s">
        <v>36</v>
      </c>
      <c r="D453" s="5" t="str">
        <f>IFERROR(__xludf.DUMMYFUNCTION("LET(
  words, TRANSPOSE(SPLIT($C453,"" "")),
  n, ROWS(words),
  i, ROW() - ROW($D$435)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we miss u brotha")</f>
        <v>, we miss u brotha</v>
      </c>
      <c r="E453" s="3" t="str">
        <f>IFERROR(__xludf.DUMMYFUNCTION("INDEX(SPLIT($C453,"" ""), ROW()-ROW($E$435)+1)
"),"miss")</f>
        <v>miss</v>
      </c>
      <c r="F453" s="30" t="s">
        <v>18</v>
      </c>
      <c r="G453" s="2"/>
      <c r="H453" s="1" t="s">
        <v>0</v>
      </c>
      <c r="I453" s="2"/>
      <c r="J453" s="2"/>
      <c r="K453" s="1" t="s">
        <v>15</v>
      </c>
    </row>
    <row r="454" ht="15.75" customHeight="1">
      <c r="A454" s="1">
        <v>453.0</v>
      </c>
      <c r="B454" s="1">
        <v>13.0</v>
      </c>
      <c r="C454" s="4" t="s">
        <v>36</v>
      </c>
      <c r="D454" s="5" t="str">
        <f>IFERROR(__xludf.DUMMYFUNCTION("LET(
  words, TRANSPOSE(SPLIT($C454,"" "")),
  n, ROWS(words),
  i, ROW() - ROW($D$435)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)"),"we miss u brotha")</f>
        <v>we miss u brotha</v>
      </c>
      <c r="E454" s="3" t="str">
        <f>IFERROR(__xludf.DUMMYFUNCTION("INDEX(SPLIT($C454,"" ""), ROW()-ROW($E$435)+1)
"),"u")</f>
        <v>u</v>
      </c>
      <c r="F454" s="30" t="s">
        <v>18</v>
      </c>
      <c r="G454" s="1" t="s">
        <v>19</v>
      </c>
      <c r="H454" s="1" t="s">
        <v>0</v>
      </c>
      <c r="I454" s="2"/>
      <c r="J454" s="2"/>
      <c r="K454" s="1" t="s">
        <v>15</v>
      </c>
    </row>
    <row r="455" ht="15.75" customHeight="1">
      <c r="A455" s="10">
        <v>454.0</v>
      </c>
      <c r="B455" s="10">
        <v>13.0</v>
      </c>
      <c r="C455" s="7" t="s">
        <v>36</v>
      </c>
      <c r="D455" s="8" t="str">
        <f>IFERROR(__xludf.DUMMYFUNCTION("LET(
  words, TRANSPOSE(SPLIT($C455,"" "")),
  n, ROWS(words),
  i, ROW() - ROW($D$435)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)"),"miss u brotha")</f>
        <v>miss u brotha</v>
      </c>
      <c r="E455" s="9" t="str">
        <f>IFERROR(__xludf.DUMMYFUNCTION("INDEX(SPLIT($C455,"" ""), ROW()-ROW($E$435)+1)
"),"brotha")</f>
        <v>brotha</v>
      </c>
      <c r="F455" s="32" t="s">
        <v>18</v>
      </c>
      <c r="G455" s="10" t="s">
        <v>19</v>
      </c>
      <c r="H455" s="10" t="s">
        <v>0</v>
      </c>
      <c r="I455" s="6"/>
      <c r="J455" s="6"/>
      <c r="K455" s="10" t="s">
        <v>15</v>
      </c>
      <c r="L455" s="6"/>
    </row>
    <row r="456" ht="15.75" customHeight="1">
      <c r="A456" s="1">
        <v>455.0</v>
      </c>
      <c r="B456" s="1">
        <v>14.0</v>
      </c>
      <c r="C456" s="4" t="s">
        <v>37</v>
      </c>
      <c r="D456" s="5" t="str">
        <f>IFERROR(__xludf.DUMMYFUNCTION("LET(
  words, TRANSPOSE(SPLIT($C456,""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)"),"Tandaan mo walang")</f>
        <v>Tandaan mo walang</v>
      </c>
      <c r="E456" s="3" t="str">
        <f>IFERROR(__xludf.DUMMYFUNCTION("INDEX(SPLIT($C456,"" ""), ROW()-ROW($E$456)+1)
"),"Tandaan")</f>
        <v>Tandaan</v>
      </c>
      <c r="F456" s="30" t="s">
        <v>16</v>
      </c>
      <c r="G456" s="2"/>
      <c r="H456" s="1" t="s">
        <v>0</v>
      </c>
      <c r="I456" s="2"/>
      <c r="J456" s="2"/>
      <c r="K456" s="1" t="s">
        <v>15</v>
      </c>
    </row>
    <row r="457" ht="15.75" customHeight="1">
      <c r="A457" s="1">
        <v>456.0</v>
      </c>
      <c r="B457" s="1">
        <v>14.0</v>
      </c>
      <c r="C457" s="4" t="s">
        <v>37</v>
      </c>
      <c r="D457" s="5" t="str">
        <f>IFERROR(__xludf.DUMMYFUNCTION("LET(
  words, TRANSPOSE(SPLIT($C457,""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)"),"Tandaan mo walang ulan")</f>
        <v>Tandaan mo walang ulan</v>
      </c>
      <c r="E457" s="3" t="str">
        <f>IFERROR(__xludf.DUMMYFUNCTION("INDEX(SPLIT($C457,"" ""), ROW()-ROW($E$456)+1)
"),"mo")</f>
        <v>mo</v>
      </c>
      <c r="F457" s="30" t="s">
        <v>16</v>
      </c>
      <c r="G457" s="2"/>
      <c r="H457" s="1" t="s">
        <v>0</v>
      </c>
      <c r="I457" s="2"/>
      <c r="J457" s="2"/>
      <c r="K457" s="1" t="s">
        <v>15</v>
      </c>
    </row>
    <row r="458" ht="15.75" customHeight="1">
      <c r="A458" s="1">
        <v>457.0</v>
      </c>
      <c r="B458" s="1">
        <v>14.0</v>
      </c>
      <c r="C458" s="4" t="s">
        <v>37</v>
      </c>
      <c r="D458" s="5" t="str">
        <f>IFERROR(__xludf.DUMMYFUNCTION("LET(
  words, TRANSPOSE(SPLIT($C458,""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)"),"Tandaan mo walang ulan na")</f>
        <v>Tandaan mo walang ulan na</v>
      </c>
      <c r="E458" s="3" t="str">
        <f>IFERROR(__xludf.DUMMYFUNCTION("INDEX(SPLIT($C458,"" ""), ROW()-ROW($E$456)+1)
"),"walang")</f>
        <v>walang</v>
      </c>
      <c r="F458" s="30" t="s">
        <v>16</v>
      </c>
      <c r="G458" s="2"/>
      <c r="H458" s="1" t="s">
        <v>0</v>
      </c>
      <c r="I458" s="2"/>
      <c r="J458" s="2"/>
      <c r="K458" s="1" t="s">
        <v>15</v>
      </c>
    </row>
    <row r="459" ht="15.75" customHeight="1">
      <c r="A459" s="1">
        <v>458.0</v>
      </c>
      <c r="B459" s="1">
        <v>14.0</v>
      </c>
      <c r="C459" s="4" t="s">
        <v>37</v>
      </c>
      <c r="D459" s="5" t="str">
        <f>IFERROR(__xludf.DUMMYFUNCTION("LET(
  words, TRANSPOSE(SPLIT($C459,""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)"),"mo walang ulan na hindi")</f>
        <v>mo walang ulan na hindi</v>
      </c>
      <c r="E459" s="3" t="str">
        <f>IFERROR(__xludf.DUMMYFUNCTION("INDEX(SPLIT($C459,"" ""), ROW()-ROW($E$456)+1)
"),"ulan")</f>
        <v>ulan</v>
      </c>
      <c r="F459" s="30" t="s">
        <v>16</v>
      </c>
      <c r="G459" s="2"/>
      <c r="H459" s="1" t="s">
        <v>0</v>
      </c>
      <c r="I459" s="2"/>
      <c r="J459" s="2"/>
      <c r="K459" s="1" t="s">
        <v>15</v>
      </c>
    </row>
    <row r="460" ht="15.75" customHeight="1">
      <c r="A460" s="1">
        <v>459.0</v>
      </c>
      <c r="B460" s="1">
        <v>14.0</v>
      </c>
      <c r="C460" s="4" t="s">
        <v>37</v>
      </c>
      <c r="D460" s="5" t="str">
        <f>IFERROR(__xludf.DUMMYFUNCTION("LET(
  words, TRANSPOSE(SPLIT($C460,""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)"),"walang ulan na hindi humuhupa")</f>
        <v>walang ulan na hindi humuhupa</v>
      </c>
      <c r="E460" s="3" t="str">
        <f>IFERROR(__xludf.DUMMYFUNCTION("INDEX(SPLIT($C460,"" ""), ROW()-ROW($E$456)+1)
"),"na")</f>
        <v>na</v>
      </c>
      <c r="F460" s="30" t="s">
        <v>16</v>
      </c>
      <c r="G460" s="2"/>
      <c r="H460" s="1" t="s">
        <v>0</v>
      </c>
      <c r="I460" s="2"/>
      <c r="J460" s="2"/>
      <c r="K460" s="1" t="s">
        <v>15</v>
      </c>
    </row>
    <row r="461" ht="15.75" customHeight="1">
      <c r="A461" s="1">
        <v>460.0</v>
      </c>
      <c r="B461" s="1">
        <v>14.0</v>
      </c>
      <c r="C461" s="4" t="s">
        <v>37</v>
      </c>
      <c r="D461" s="5" t="str">
        <f>IFERROR(__xludf.DUMMYFUNCTION("LET(
  words, TRANSPOSE(SPLIT($C461,""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)"),"ulan na hindi humuhupa at")</f>
        <v>ulan na hindi humuhupa at</v>
      </c>
      <c r="E461" s="3" t="str">
        <f>IFERROR(__xludf.DUMMYFUNCTION("INDEX(SPLIT($C461,"" ""), ROW()-ROW($E$456)+1)
"),"hindi")</f>
        <v>hindi</v>
      </c>
      <c r="F461" s="30" t="s">
        <v>16</v>
      </c>
      <c r="G461" s="2"/>
      <c r="H461" s="1" t="s">
        <v>0</v>
      </c>
      <c r="I461" s="2"/>
      <c r="J461" s="2"/>
      <c r="K461" s="1" t="s">
        <v>15</v>
      </c>
    </row>
    <row r="462" ht="15.75" customHeight="1">
      <c r="A462" s="1">
        <v>461.0</v>
      </c>
      <c r="B462" s="1">
        <v>14.0</v>
      </c>
      <c r="C462" s="4" t="s">
        <v>37</v>
      </c>
      <c r="D462" s="5" t="str">
        <f>IFERROR(__xludf.DUMMYFUNCTION("LET(
  words, TRANSPOSE(SPLIT($C462,""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hindi humuhupa at ang")</f>
        <v>na hindi humuhupa at ang</v>
      </c>
      <c r="E462" s="3" t="str">
        <f>IFERROR(__xludf.DUMMYFUNCTION("INDEX(SPLIT($C462,"" ""), ROW()-ROW($E$456)+1)
"),"humuhupa")</f>
        <v>humuhupa</v>
      </c>
      <c r="F462" s="30" t="s">
        <v>16</v>
      </c>
      <c r="G462" s="2"/>
      <c r="H462" s="1" t="s">
        <v>0</v>
      </c>
      <c r="I462" s="2"/>
      <c r="J462" s="2"/>
      <c r="K462" s="1" t="s">
        <v>15</v>
      </c>
    </row>
    <row r="463" ht="15.75" customHeight="1">
      <c r="A463" s="1">
        <v>462.0</v>
      </c>
      <c r="B463" s="1">
        <v>14.0</v>
      </c>
      <c r="C463" s="4" t="s">
        <v>37</v>
      </c>
      <c r="D463" s="5" t="str">
        <f>IFERROR(__xludf.DUMMYFUNCTION("LET(
  words, TRANSPOSE(SPLIT($C463,""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)"),"hindi humuhupa at ang araw")</f>
        <v>hindi humuhupa at ang araw</v>
      </c>
      <c r="E463" s="3" t="str">
        <f>IFERROR(__xludf.DUMMYFUNCTION("INDEX(SPLIT($C463,"" ""), ROW()-ROW($E$456)+1)
"),"at")</f>
        <v>at</v>
      </c>
      <c r="F463" s="30" t="s">
        <v>16</v>
      </c>
      <c r="G463" s="2"/>
      <c r="H463" s="1" t="s">
        <v>0</v>
      </c>
      <c r="I463" s="2"/>
      <c r="J463" s="2"/>
      <c r="K463" s="1" t="s">
        <v>15</v>
      </c>
    </row>
    <row r="464" ht="15.75" customHeight="1">
      <c r="A464" s="1">
        <v>463.0</v>
      </c>
      <c r="B464" s="1">
        <v>14.0</v>
      </c>
      <c r="C464" s="4" t="s">
        <v>37</v>
      </c>
      <c r="D464" s="5" t="str">
        <f>IFERROR(__xludf.DUMMYFUNCTION("LET(
  words, TRANSPOSE(SPLIT($C464,""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)"),"humuhupa at ang araw kahit")</f>
        <v>humuhupa at ang araw kahit</v>
      </c>
      <c r="E464" s="3" t="str">
        <f>IFERROR(__xludf.DUMMYFUNCTION("INDEX(SPLIT($C464,"" ""), ROW()-ROW($E$456)+1)
"),"ang")</f>
        <v>ang</v>
      </c>
      <c r="F464" s="30" t="s">
        <v>16</v>
      </c>
      <c r="G464" s="2"/>
      <c r="H464" s="1" t="s">
        <v>0</v>
      </c>
      <c r="I464" s="2"/>
      <c r="J464" s="2"/>
      <c r="K464" s="1" t="s">
        <v>15</v>
      </c>
    </row>
    <row r="465" ht="15.75" customHeight="1">
      <c r="A465" s="1">
        <v>464.0</v>
      </c>
      <c r="B465" s="1">
        <v>14.0</v>
      </c>
      <c r="C465" s="4" t="s">
        <v>37</v>
      </c>
      <c r="D465" s="5" t="str">
        <f>IFERROR(__xludf.DUMMYFUNCTION("LET(
  words, TRANSPOSE(SPLIT($C465,""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)"),"at ang araw kahit kailan")</f>
        <v>at ang araw kahit kailan</v>
      </c>
      <c r="E465" s="3" t="str">
        <f>IFERROR(__xludf.DUMMYFUNCTION("INDEX(SPLIT($C465,"" ""), ROW()-ROW($E$456)+1)
"),"araw")</f>
        <v>araw</v>
      </c>
      <c r="F465" s="30" t="s">
        <v>16</v>
      </c>
      <c r="G465" s="2"/>
      <c r="H465" s="1" t="s">
        <v>0</v>
      </c>
      <c r="I465" s="2"/>
      <c r="J465" s="2"/>
      <c r="K465" s="1" t="s">
        <v>15</v>
      </c>
    </row>
    <row r="466" ht="15.75" customHeight="1">
      <c r="A466" s="1">
        <v>465.0</v>
      </c>
      <c r="B466" s="1">
        <v>14.0</v>
      </c>
      <c r="C466" s="4" t="s">
        <v>37</v>
      </c>
      <c r="D466" s="5" t="str">
        <f>IFERROR(__xludf.DUMMYFUNCTION("LET(
  words, TRANSPOSE(SPLIT($C466,""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araw kahit kailan hindi")</f>
        <v>ang araw kahit kailan hindi</v>
      </c>
      <c r="E466" s="3" t="str">
        <f>IFERROR(__xludf.DUMMYFUNCTION("INDEX(SPLIT($C466,"" ""), ROW()-ROW($E$456)+1)
"),"kahit")</f>
        <v>kahit</v>
      </c>
      <c r="F466" s="30" t="s">
        <v>16</v>
      </c>
      <c r="G466" s="2"/>
      <c r="H466" s="1" t="s">
        <v>0</v>
      </c>
      <c r="I466" s="2"/>
      <c r="J466" s="2"/>
      <c r="K466" s="1" t="s">
        <v>15</v>
      </c>
    </row>
    <row r="467" ht="15.75" customHeight="1">
      <c r="A467" s="1">
        <v>466.0</v>
      </c>
      <c r="B467" s="1">
        <v>14.0</v>
      </c>
      <c r="C467" s="4" t="s">
        <v>37</v>
      </c>
      <c r="D467" s="5" t="str">
        <f>IFERROR(__xludf.DUMMYFUNCTION("LET(
  words, TRANSPOSE(SPLIT($C467,""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)"),"araw kahit kailan hindi mo")</f>
        <v>araw kahit kailan hindi mo</v>
      </c>
      <c r="E467" s="3" t="str">
        <f>IFERROR(__xludf.DUMMYFUNCTION("INDEX(SPLIT($C467,"" ""), ROW()-ROW($E$456)+1)
"),"kailan")</f>
        <v>kailan</v>
      </c>
      <c r="F467" s="30" t="s">
        <v>16</v>
      </c>
      <c r="G467" s="2"/>
      <c r="H467" s="1" t="s">
        <v>0</v>
      </c>
      <c r="I467" s="2"/>
      <c r="J467" s="2"/>
      <c r="K467" s="1" t="s">
        <v>15</v>
      </c>
    </row>
    <row r="468" ht="15.75" customHeight="1">
      <c r="A468" s="1">
        <v>467.0</v>
      </c>
      <c r="B468" s="1">
        <v>14.0</v>
      </c>
      <c r="C468" s="4" t="s">
        <v>37</v>
      </c>
      <c r="D468" s="5" t="str">
        <f>IFERROR(__xludf.DUMMYFUNCTION("LET(
  words, TRANSPOSE(SPLIT($C468,""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)"),"kahit kailan hindi mo mapipigilan")</f>
        <v>kahit kailan hindi mo mapipigilan</v>
      </c>
      <c r="E468" s="3" t="str">
        <f>IFERROR(__xludf.DUMMYFUNCTION("INDEX(SPLIT($C468,"" ""), ROW()-ROW($E$456)+1)
"),"hindi")</f>
        <v>hindi</v>
      </c>
      <c r="F468" s="30" t="s">
        <v>16</v>
      </c>
      <c r="G468" s="2"/>
      <c r="H468" s="1" t="s">
        <v>0</v>
      </c>
      <c r="I468" s="2"/>
      <c r="J468" s="2"/>
      <c r="K468" s="1" t="s">
        <v>15</v>
      </c>
    </row>
    <row r="469" ht="15.75" customHeight="1">
      <c r="A469" s="1">
        <v>468.0</v>
      </c>
      <c r="B469" s="1">
        <v>14.0</v>
      </c>
      <c r="C469" s="4" t="s">
        <v>37</v>
      </c>
      <c r="D469" s="5" t="str">
        <f>IFERROR(__xludf.DUMMYFUNCTION("LET(
  words, TRANSPOSE(SPLIT($C469,""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)"),"kailan hindi mo mapipigilan sa")</f>
        <v>kailan hindi mo mapipigilan sa</v>
      </c>
      <c r="E469" s="3" t="str">
        <f>IFERROR(__xludf.DUMMYFUNCTION("INDEX(SPLIT($C469,"" ""), ROW()-ROW($E$456)+1)
"),"mo")</f>
        <v>mo</v>
      </c>
      <c r="F469" s="30" t="s">
        <v>16</v>
      </c>
      <c r="G469" s="2"/>
      <c r="H469" s="1" t="s">
        <v>0</v>
      </c>
      <c r="I469" s="2"/>
      <c r="J469" s="2"/>
      <c r="K469" s="1" t="s">
        <v>15</v>
      </c>
    </row>
    <row r="470" ht="15.75" customHeight="1">
      <c r="A470" s="1">
        <v>469.0</v>
      </c>
      <c r="B470" s="1">
        <v>14.0</v>
      </c>
      <c r="C470" s="4" t="s">
        <v>37</v>
      </c>
      <c r="D470" s="5" t="str">
        <f>IFERROR(__xludf.DUMMYFUNCTION("LET(
  words, TRANSPOSE(SPLIT($C470,""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)"),"hindi mo mapipigilan sa pagsikat")</f>
        <v>hindi mo mapipigilan sa pagsikat</v>
      </c>
      <c r="E470" s="3" t="str">
        <f>IFERROR(__xludf.DUMMYFUNCTION("INDEX(SPLIT($C470,"" ""), ROW()-ROW($E$456)+1)
"),"mapipigilan")</f>
        <v>mapipigilan</v>
      </c>
      <c r="F470" s="30" t="s">
        <v>16</v>
      </c>
      <c r="G470" s="2"/>
      <c r="H470" s="1" t="s">
        <v>0</v>
      </c>
      <c r="I470" s="2"/>
      <c r="J470" s="2"/>
      <c r="K470" s="1" t="s">
        <v>15</v>
      </c>
    </row>
    <row r="471" ht="15.75" customHeight="1">
      <c r="A471" s="1">
        <v>470.0</v>
      </c>
      <c r="B471" s="1">
        <v>14.0</v>
      </c>
      <c r="C471" s="4" t="s">
        <v>37</v>
      </c>
      <c r="D471" s="5" t="str">
        <f>IFERROR(__xludf.DUMMYFUNCTION("LET(
  words, TRANSPOSE(SPLIT($C471,""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)"),"mo mapipigilan sa pagsikat .")</f>
        <v>mo mapipigilan sa pagsikat .</v>
      </c>
      <c r="E471" s="3" t="str">
        <f>IFERROR(__xludf.DUMMYFUNCTION("INDEX(SPLIT($C471,"" ""), ROW()-ROW($E$456)+1)
"),"sa")</f>
        <v>sa</v>
      </c>
      <c r="F471" s="30" t="s">
        <v>16</v>
      </c>
      <c r="G471" s="2"/>
      <c r="H471" s="1" t="s">
        <v>0</v>
      </c>
      <c r="I471" s="2"/>
      <c r="J471" s="2"/>
      <c r="K471" s="1" t="s">
        <v>15</v>
      </c>
    </row>
    <row r="472" ht="15.75" customHeight="1">
      <c r="A472" s="1">
        <v>471.0</v>
      </c>
      <c r="B472" s="1">
        <v>14.0</v>
      </c>
      <c r="C472" s="4" t="s">
        <v>37</v>
      </c>
      <c r="D472" s="5" t="str">
        <f>IFERROR(__xludf.DUMMYFUNCTION("LET(
  words, TRANSPOSE(SPLIT($C472,""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)"),"mapipigilan sa pagsikat . Ganyan")</f>
        <v>mapipigilan sa pagsikat . Ganyan</v>
      </c>
      <c r="E472" s="3" t="str">
        <f>IFERROR(__xludf.DUMMYFUNCTION("INDEX(SPLIT($C472,"" ""), ROW()-ROW($E$456)+1)
"),"pagsikat")</f>
        <v>pagsikat</v>
      </c>
      <c r="F472" s="30" t="s">
        <v>16</v>
      </c>
      <c r="G472" s="2"/>
      <c r="H472" s="1" t="s">
        <v>0</v>
      </c>
      <c r="I472" s="2"/>
      <c r="J472" s="2"/>
      <c r="K472" s="1" t="s">
        <v>15</v>
      </c>
    </row>
    <row r="473" ht="15.75" customHeight="1">
      <c r="A473" s="1">
        <v>472.0</v>
      </c>
      <c r="B473" s="1">
        <v>14.0</v>
      </c>
      <c r="C473" s="4" t="s">
        <v>37</v>
      </c>
      <c r="D473" s="5" t="str">
        <f>IFERROR(__xludf.DUMMYFUNCTION("LET(
  words, TRANSPOSE(SPLIT($C473,""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pagsikat . Ganyan din")</f>
        <v>sa pagsikat . Ganyan din</v>
      </c>
      <c r="E473" s="3" t="str">
        <f>IFERROR(__xludf.DUMMYFUNCTION("INDEX(SPLIT($C473,"" ""), ROW()-ROW($E$456)+1)
"),".")</f>
        <v>.</v>
      </c>
      <c r="F473" s="30" t="s">
        <v>17</v>
      </c>
      <c r="G473" s="2"/>
      <c r="H473" s="1" t="s">
        <v>0</v>
      </c>
      <c r="I473" s="2"/>
      <c r="J473" s="2"/>
      <c r="K473" s="1" t="s">
        <v>15</v>
      </c>
    </row>
    <row r="474" ht="15.75" customHeight="1">
      <c r="A474" s="1">
        <v>473.0</v>
      </c>
      <c r="B474" s="1">
        <v>14.0</v>
      </c>
      <c r="C474" s="4" t="s">
        <v>37</v>
      </c>
      <c r="D474" s="5" t="str">
        <f>IFERROR(__xludf.DUMMYFUNCTION("LET(
  words, TRANSPOSE(SPLIT($C474,""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)"),"pagsikat . Ganyan din sa")</f>
        <v>pagsikat . Ganyan din sa</v>
      </c>
      <c r="E474" s="3" t="str">
        <f>IFERROR(__xludf.DUMMYFUNCTION("INDEX(SPLIT($C474,"" ""), ROW()-ROW($E$456)+1)
"),"Ganyan")</f>
        <v>Ganyan</v>
      </c>
      <c r="F474" s="30" t="s">
        <v>16</v>
      </c>
      <c r="G474" s="2"/>
      <c r="H474" s="1" t="s">
        <v>0</v>
      </c>
      <c r="I474" s="2"/>
      <c r="J474" s="2"/>
      <c r="K474" s="1" t="s">
        <v>15</v>
      </c>
    </row>
    <row r="475" ht="15.75" customHeight="1">
      <c r="A475" s="1">
        <v>474.0</v>
      </c>
      <c r="B475" s="1">
        <v>14.0</v>
      </c>
      <c r="C475" s="4" t="s">
        <v>37</v>
      </c>
      <c r="D475" s="5" t="str">
        <f>IFERROR(__xludf.DUMMYFUNCTION("LET(
  words, TRANSPOSE(SPLIT($C475,""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Ganyan din sa problema")</f>
        <v>. Ganyan din sa problema</v>
      </c>
      <c r="E475" s="3" t="str">
        <f>IFERROR(__xludf.DUMMYFUNCTION("INDEX(SPLIT($C475,"" ""), ROW()-ROW($E$456)+1)
"),"din")</f>
        <v>din</v>
      </c>
      <c r="F475" s="30" t="s">
        <v>16</v>
      </c>
      <c r="G475" s="2"/>
      <c r="H475" s="1" t="s">
        <v>0</v>
      </c>
      <c r="I475" s="2"/>
      <c r="J475" s="2"/>
      <c r="K475" s="1" t="s">
        <v>15</v>
      </c>
    </row>
    <row r="476" ht="15.75" customHeight="1">
      <c r="A476" s="1">
        <v>475.0</v>
      </c>
      <c r="B476" s="1">
        <v>14.0</v>
      </c>
      <c r="C476" s="4" t="s">
        <v>37</v>
      </c>
      <c r="D476" s="5" t="str">
        <f>IFERROR(__xludf.DUMMYFUNCTION("LET(
  words, TRANSPOSE(SPLIT($C476,""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)"),"Ganyan din sa problema ,")</f>
        <v>Ganyan din sa problema ,</v>
      </c>
      <c r="E476" s="3" t="str">
        <f>IFERROR(__xludf.DUMMYFUNCTION("INDEX(SPLIT($C476,"" ""), ROW()-ROW($E$456)+1)
"),"sa")</f>
        <v>sa</v>
      </c>
      <c r="F476" s="30" t="s">
        <v>16</v>
      </c>
      <c r="G476" s="2"/>
      <c r="H476" s="1" t="s">
        <v>0</v>
      </c>
      <c r="I476" s="2"/>
      <c r="J476" s="2"/>
      <c r="K476" s="1" t="s">
        <v>15</v>
      </c>
    </row>
    <row r="477" ht="15.75" customHeight="1">
      <c r="A477" s="1">
        <v>476.0</v>
      </c>
      <c r="B477" s="1">
        <v>14.0</v>
      </c>
      <c r="C477" s="4" t="s">
        <v>37</v>
      </c>
      <c r="D477" s="5" t="str">
        <f>IFERROR(__xludf.DUMMYFUNCTION("LET(
  words, TRANSPOSE(SPLIT($C477,""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)"),"din sa problema , lilipas")</f>
        <v>din sa problema , lilipas</v>
      </c>
      <c r="E477" s="3" t="str">
        <f>IFERROR(__xludf.DUMMYFUNCTION("INDEX(SPLIT($C477,"" ""), ROW()-ROW($E$456)+1)
"),"problema")</f>
        <v>problema</v>
      </c>
      <c r="F477" s="30" t="s">
        <v>16</v>
      </c>
      <c r="G477" s="2"/>
      <c r="H477" s="1" t="s">
        <v>0</v>
      </c>
      <c r="I477" s="2"/>
      <c r="J477" s="2"/>
      <c r="K477" s="1" t="s">
        <v>15</v>
      </c>
    </row>
    <row r="478" ht="15.75" customHeight="1">
      <c r="A478" s="1">
        <v>477.0</v>
      </c>
      <c r="B478" s="1">
        <v>14.0</v>
      </c>
      <c r="C478" s="4" t="s">
        <v>37</v>
      </c>
      <c r="D478" s="5" t="str">
        <f>IFERROR(__xludf.DUMMYFUNCTION("LET(
  words, TRANSPOSE(SPLIT($C478,""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problema , lilipas yan")</f>
        <v>sa problema , lilipas yan</v>
      </c>
      <c r="E478" s="3" t="str">
        <f>IFERROR(__xludf.DUMMYFUNCTION("INDEX(SPLIT($C478,"" ""), ROW()-ROW($E$456)+1)
"),",")</f>
        <v>,</v>
      </c>
      <c r="F478" s="30" t="s">
        <v>17</v>
      </c>
      <c r="G478" s="2"/>
      <c r="H478" s="1" t="s">
        <v>0</v>
      </c>
      <c r="I478" s="2"/>
      <c r="J478" s="2"/>
      <c r="K478" s="1" t="s">
        <v>15</v>
      </c>
    </row>
    <row r="479" ht="15.75" customHeight="1">
      <c r="A479" s="1">
        <v>478.0</v>
      </c>
      <c r="B479" s="1">
        <v>14.0</v>
      </c>
      <c r="C479" s="4" t="s">
        <v>37</v>
      </c>
      <c r="D479" s="5" t="str">
        <f>IFERROR(__xludf.DUMMYFUNCTION("LET(
  words, TRANSPOSE(SPLIT($C479,""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)"),"problema , lilipas yan at")</f>
        <v>problema , lilipas yan at</v>
      </c>
      <c r="E479" s="3" t="str">
        <f>IFERROR(__xludf.DUMMYFUNCTION("INDEX(SPLIT($C479,"" ""), ROW()-ROW($E$456)+1)
"),"lilipas")</f>
        <v>lilipas</v>
      </c>
      <c r="F479" s="30" t="s">
        <v>16</v>
      </c>
      <c r="G479" s="2"/>
      <c r="H479" s="1" t="s">
        <v>0</v>
      </c>
      <c r="I479" s="2"/>
      <c r="J479" s="2"/>
      <c r="K479" s="1" t="s">
        <v>15</v>
      </c>
    </row>
    <row r="480" ht="15.75" customHeight="1">
      <c r="A480" s="1">
        <v>479.0</v>
      </c>
      <c r="B480" s="1">
        <v>14.0</v>
      </c>
      <c r="C480" s="4" t="s">
        <v>37</v>
      </c>
      <c r="D480" s="5" t="str">
        <f>IFERROR(__xludf.DUMMYFUNCTION("LET(
  words, TRANSPOSE(SPLIT($C480,""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lilipas yan at makakamit")</f>
        <v>, lilipas yan at makakamit</v>
      </c>
      <c r="E480" s="3" t="str">
        <f>IFERROR(__xludf.DUMMYFUNCTION("INDEX(SPLIT($C480,"" ""), ROW()-ROW($E$456)+1)
"),"yan")</f>
        <v>yan</v>
      </c>
      <c r="F480" s="30" t="s">
        <v>16</v>
      </c>
      <c r="G480" s="2"/>
      <c r="H480" s="1" t="s">
        <v>0</v>
      </c>
      <c r="I480" s="2"/>
      <c r="J480" s="2"/>
      <c r="K480" s="1" t="s">
        <v>15</v>
      </c>
    </row>
    <row r="481" ht="15.75" customHeight="1">
      <c r="A481" s="1">
        <v>480.0</v>
      </c>
      <c r="B481" s="1">
        <v>14.0</v>
      </c>
      <c r="C481" s="4" t="s">
        <v>37</v>
      </c>
      <c r="D481" s="5" t="str">
        <f>IFERROR(__xludf.DUMMYFUNCTION("LET(
  words, TRANSPOSE(SPLIT($C481,""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)"),"lilipas yan at makakamit mo")</f>
        <v>lilipas yan at makakamit mo</v>
      </c>
      <c r="E481" s="3" t="str">
        <f>IFERROR(__xludf.DUMMYFUNCTION("INDEX(SPLIT($C481,"" ""), ROW()-ROW($E$456)+1)
"),"at")</f>
        <v>at</v>
      </c>
      <c r="F481" s="30" t="s">
        <v>16</v>
      </c>
      <c r="G481" s="2"/>
      <c r="H481" s="1" t="s">
        <v>0</v>
      </c>
      <c r="I481" s="2"/>
      <c r="J481" s="2"/>
      <c r="K481" s="1" t="s">
        <v>15</v>
      </c>
    </row>
    <row r="482" ht="15.75" customHeight="1">
      <c r="A482" s="1">
        <v>481.0</v>
      </c>
      <c r="B482" s="1">
        <v>14.0</v>
      </c>
      <c r="C482" s="4" t="s">
        <v>37</v>
      </c>
      <c r="D482" s="5" t="str">
        <f>IFERROR(__xludf.DUMMYFUNCTION("LET(
  words, TRANSPOSE(SPLIT($C482,""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)"),"yan at makakamit mo ang")</f>
        <v>yan at makakamit mo ang</v>
      </c>
      <c r="E482" s="3" t="str">
        <f>IFERROR(__xludf.DUMMYFUNCTION("INDEX(SPLIT($C482,"" ""), ROW()-ROW($E$456)+1)
"),"makakamit")</f>
        <v>makakamit</v>
      </c>
      <c r="F482" s="30" t="s">
        <v>16</v>
      </c>
      <c r="G482" s="2"/>
      <c r="H482" s="1" t="s">
        <v>0</v>
      </c>
      <c r="I482" s="2"/>
      <c r="J482" s="2"/>
      <c r="K482" s="1" t="s">
        <v>15</v>
      </c>
    </row>
    <row r="483" ht="15.75" customHeight="1">
      <c r="A483" s="1">
        <v>482.0</v>
      </c>
      <c r="B483" s="1">
        <v>14.0</v>
      </c>
      <c r="C483" s="4" t="s">
        <v>37</v>
      </c>
      <c r="D483" s="5" t="str">
        <f>IFERROR(__xludf.DUMMYFUNCTION("LET(
  words, TRANSPOSE(SPLIT($C483,""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)"),"at makakamit mo ang ligaya")</f>
        <v>at makakamit mo ang ligaya</v>
      </c>
      <c r="E483" s="3" t="str">
        <f>IFERROR(__xludf.DUMMYFUNCTION("INDEX(SPLIT($C483,"" ""), ROW()-ROW($E$456)+1)
"),"mo")</f>
        <v>mo</v>
      </c>
      <c r="F483" s="30" t="s">
        <v>16</v>
      </c>
      <c r="G483" s="2"/>
      <c r="H483" s="1" t="s">
        <v>0</v>
      </c>
      <c r="I483" s="2"/>
      <c r="J483" s="2"/>
      <c r="K483" s="1" t="s">
        <v>15</v>
      </c>
    </row>
    <row r="484" ht="15.75" customHeight="1">
      <c r="A484" s="1">
        <v>483.0</v>
      </c>
      <c r="B484" s="1">
        <v>14.0</v>
      </c>
      <c r="C484" s="4" t="s">
        <v>37</v>
      </c>
      <c r="D484" s="5" t="str">
        <f>IFERROR(__xludf.DUMMYFUNCTION("LET(
  words, TRANSPOSE(SPLIT($C484,""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)"),"makakamit mo ang ligaya ,")</f>
        <v>makakamit mo ang ligaya ,</v>
      </c>
      <c r="E484" s="3" t="str">
        <f>IFERROR(__xludf.DUMMYFUNCTION("INDEX(SPLIT($C484,"" ""), ROW()-ROW($E$456)+1)
"),"ang")</f>
        <v>ang</v>
      </c>
      <c r="F484" s="30" t="s">
        <v>16</v>
      </c>
      <c r="G484" s="2"/>
      <c r="H484" s="1" t="s">
        <v>0</v>
      </c>
      <c r="I484" s="2"/>
      <c r="J484" s="2"/>
      <c r="K484" s="1" t="s">
        <v>15</v>
      </c>
    </row>
    <row r="485" ht="15.75" customHeight="1">
      <c r="A485" s="1">
        <v>484.0</v>
      </c>
      <c r="B485" s="1">
        <v>14.0</v>
      </c>
      <c r="C485" s="4" t="s">
        <v>37</v>
      </c>
      <c r="D485" s="5" t="str">
        <f>IFERROR(__xludf.DUMMYFUNCTION("LET(
  words, TRANSPOSE(SPLIT($C485,""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)"),"mo ang ligaya , BRO")</f>
        <v>mo ang ligaya , BRO</v>
      </c>
      <c r="E485" s="3" t="str">
        <f>IFERROR(__xludf.DUMMYFUNCTION("INDEX(SPLIT($C485,"" ""), ROW()-ROW($E$456)+1)
"),"ligaya")</f>
        <v>ligaya</v>
      </c>
      <c r="F485" s="30" t="s">
        <v>16</v>
      </c>
      <c r="G485" s="2"/>
      <c r="H485" s="1" t="s">
        <v>0</v>
      </c>
      <c r="I485" s="2"/>
      <c r="J485" s="2"/>
      <c r="K485" s="1" t="s">
        <v>15</v>
      </c>
    </row>
    <row r="486" ht="15.75" customHeight="1">
      <c r="A486" s="1">
        <v>485.0</v>
      </c>
      <c r="B486" s="1">
        <v>14.0</v>
      </c>
      <c r="C486" s="4" t="s">
        <v>37</v>
      </c>
      <c r="D486" s="5" t="str">
        <f>IFERROR(__xludf.DUMMYFUNCTION("LET(
  words, TRANSPOSE(SPLIT($C486,""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ligaya , BRO .")</f>
        <v>ang ligaya , BRO .</v>
      </c>
      <c r="E486" s="3" t="str">
        <f>IFERROR(__xludf.DUMMYFUNCTION("INDEX(SPLIT($C486,"" ""), ROW()-ROW($E$456)+1)
"),",")</f>
        <v>,</v>
      </c>
      <c r="F486" s="30" t="s">
        <v>17</v>
      </c>
      <c r="G486" s="2"/>
      <c r="H486" s="1" t="s">
        <v>0</v>
      </c>
      <c r="I486" s="2"/>
      <c r="J486" s="2"/>
      <c r="K486" s="1" t="s">
        <v>15</v>
      </c>
    </row>
    <row r="487" ht="15.75" customHeight="1">
      <c r="A487" s="1">
        <v>486.0</v>
      </c>
      <c r="B487" s="1">
        <v>14.0</v>
      </c>
      <c r="C487" s="4" t="s">
        <v>37</v>
      </c>
      <c r="D487" s="5" t="str">
        <f>IFERROR(__xludf.DUMMYFUNCTION("LET(
  words, TRANSPOSE(SPLIT($C487,""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)"),"ligaya , BRO .")</f>
        <v>ligaya , BRO .</v>
      </c>
      <c r="E487" s="3" t="str">
        <f>IFERROR(__xludf.DUMMYFUNCTION("INDEX(SPLIT($C487,"" ""), ROW()-ROW($E$456)+1)
"),"BRO")</f>
        <v>BRO</v>
      </c>
      <c r="F487" s="30" t="s">
        <v>18</v>
      </c>
      <c r="G487" s="1" t="s">
        <v>19</v>
      </c>
      <c r="H487" s="1" t="s">
        <v>0</v>
      </c>
      <c r="I487" s="2"/>
      <c r="J487" s="2"/>
      <c r="K487" s="1" t="s">
        <v>15</v>
      </c>
    </row>
    <row r="488" ht="15.75" customHeight="1">
      <c r="A488" s="10">
        <v>487.0</v>
      </c>
      <c r="B488" s="10">
        <v>14.0</v>
      </c>
      <c r="C488" s="7" t="s">
        <v>37</v>
      </c>
      <c r="D488" s="8" t="str">
        <f>IFERROR(__xludf.DUMMYFUNCTION("LET(
  words, TRANSPOSE(SPLIT($C488,"" "")),
  n, ROWS(words),
  i, ROW() - ROW($D$456)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BRO .")</f>
        <v>, BRO .</v>
      </c>
      <c r="E488" s="9" t="str">
        <f>IFERROR(__xludf.DUMMYFUNCTION("INDEX(SPLIT($C488,"" ""), ROW()-ROW($E$456)+1)
"),".")</f>
        <v>.</v>
      </c>
      <c r="F488" s="32" t="s">
        <v>17</v>
      </c>
      <c r="G488" s="6"/>
      <c r="H488" s="10" t="s">
        <v>0</v>
      </c>
      <c r="I488" s="6"/>
      <c r="J488" s="6"/>
      <c r="K488" s="10" t="s">
        <v>15</v>
      </c>
      <c r="L488" s="6"/>
    </row>
    <row r="489" ht="15.75" customHeight="1">
      <c r="A489" s="1">
        <v>488.0</v>
      </c>
      <c r="B489" s="1">
        <v>15.0</v>
      </c>
      <c r="C489" s="4" t="s">
        <v>38</v>
      </c>
      <c r="D489" s="5" t="str">
        <f>IFERROR(__xludf.DUMMYFUNCTION("LET(
  words, TRANSPOSE(SPLIT($C489,""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)"),"Posted na sa")</f>
        <v>Posted na sa</v>
      </c>
      <c r="E489" s="3" t="str">
        <f>IFERROR(__xludf.DUMMYFUNCTION("INDEX(SPLIT($C489,"" ""), ROW()-ROW($E$489)+1)
"),"Posted")</f>
        <v>Posted</v>
      </c>
      <c r="F489" s="30" t="s">
        <v>18</v>
      </c>
      <c r="G489" s="2"/>
      <c r="H489" s="1" t="s">
        <v>0</v>
      </c>
      <c r="I489" s="2"/>
      <c r="J489" s="2"/>
      <c r="K489" s="1" t="s">
        <v>15</v>
      </c>
    </row>
    <row r="490" ht="15.75" customHeight="1">
      <c r="A490" s="1">
        <v>489.0</v>
      </c>
      <c r="B490" s="1">
        <v>15.0</v>
      </c>
      <c r="C490" s="4" t="s">
        <v>38</v>
      </c>
      <c r="D490" s="5" t="str">
        <f>IFERROR(__xludf.DUMMYFUNCTION("LET(
  words, TRANSPOSE(SPLIT($C490,""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)"),"Posted na sa Canvas")</f>
        <v>Posted na sa Canvas</v>
      </c>
      <c r="E490" s="3" t="str">
        <f>IFERROR(__xludf.DUMMYFUNCTION("INDEX(SPLIT($C490,"" ""), ROW()-ROW($E$489)+1)
"),"na")</f>
        <v>na</v>
      </c>
      <c r="F490" s="30" t="s">
        <v>16</v>
      </c>
      <c r="G490" s="2"/>
      <c r="H490" s="1" t="s">
        <v>0</v>
      </c>
      <c r="I490" s="2"/>
      <c r="J490" s="2"/>
      <c r="K490" s="1" t="s">
        <v>15</v>
      </c>
    </row>
    <row r="491" ht="15.75" customHeight="1">
      <c r="A491" s="1">
        <v>490.0</v>
      </c>
      <c r="B491" s="1">
        <v>15.0</v>
      </c>
      <c r="C491" s="4" t="s">
        <v>38</v>
      </c>
      <c r="D491" s="5" t="str">
        <f>IFERROR(__xludf.DUMMYFUNCTION("LET(
  words, TRANSPOSE(SPLIT($C491,""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)"),"Posted na sa Canvas ang")</f>
        <v>Posted na sa Canvas ang</v>
      </c>
      <c r="E491" s="3" t="str">
        <f>IFERROR(__xludf.DUMMYFUNCTION("INDEX(SPLIT($C491,"" ""), ROW()-ROW($E$489)+1)
"),"sa")</f>
        <v>sa</v>
      </c>
      <c r="F491" s="30" t="s">
        <v>16</v>
      </c>
      <c r="G491" s="2"/>
      <c r="H491" s="1" t="s">
        <v>0</v>
      </c>
      <c r="I491" s="2"/>
      <c r="J491" s="2"/>
      <c r="K491" s="1" t="s">
        <v>15</v>
      </c>
    </row>
    <row r="492" ht="15.75" customHeight="1">
      <c r="A492" s="1">
        <v>491.0</v>
      </c>
      <c r="B492" s="1">
        <v>15.0</v>
      </c>
      <c r="C492" s="4" t="s">
        <v>38</v>
      </c>
      <c r="D492" s="5" t="str">
        <f>IFERROR(__xludf.DUMMYFUNCTION("LET(
  words, TRANSPOSE(SPLIT($C492,""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sa Canvas ang inyong")</f>
        <v>na sa Canvas ang inyong</v>
      </c>
      <c r="E492" s="3" t="str">
        <f>IFERROR(__xludf.DUMMYFUNCTION("INDEX(SPLIT($C492,"" ""), ROW()-ROW($E$489)+1)
"),"Canvas")</f>
        <v>Canvas</v>
      </c>
      <c r="F492" s="30" t="s">
        <v>18</v>
      </c>
      <c r="G492" s="1" t="s">
        <v>28</v>
      </c>
      <c r="H492" s="1" t="s">
        <v>0</v>
      </c>
      <c r="I492" s="2"/>
      <c r="J492" s="2"/>
      <c r="K492" s="1" t="s">
        <v>15</v>
      </c>
    </row>
    <row r="493" ht="15.75" customHeight="1">
      <c r="A493" s="1">
        <v>492.0</v>
      </c>
      <c r="B493" s="1">
        <v>15.0</v>
      </c>
      <c r="C493" s="4" t="s">
        <v>38</v>
      </c>
      <c r="D493" s="5" t="str">
        <f>IFERROR(__xludf.DUMMYFUNCTION("LET(
  words, TRANSPOSE(SPLIT($C493,""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Canvas ang inyong pinal")</f>
        <v>sa Canvas ang inyong pinal</v>
      </c>
      <c r="E493" s="3" t="str">
        <f>IFERROR(__xludf.DUMMYFUNCTION("INDEX(SPLIT($C493,"" ""), ROW()-ROW($E$489)+1)
"),"ang")</f>
        <v>ang</v>
      </c>
      <c r="F493" s="30" t="s">
        <v>16</v>
      </c>
      <c r="G493" s="2"/>
      <c r="H493" s="1" t="s">
        <v>0</v>
      </c>
      <c r="I493" s="2"/>
      <c r="J493" s="2"/>
      <c r="K493" s="1" t="s">
        <v>15</v>
      </c>
    </row>
    <row r="494" ht="15.75" customHeight="1">
      <c r="A494" s="1">
        <v>493.0</v>
      </c>
      <c r="B494" s="1">
        <v>15.0</v>
      </c>
      <c r="C494" s="4" t="s">
        <v>38</v>
      </c>
      <c r="D494" s="5" t="str">
        <f>IFERROR(__xludf.DUMMYFUNCTION("LET(
  words, TRANSPOSE(SPLIT($C494,""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)"),"Canvas ang inyong pinal na")</f>
        <v>Canvas ang inyong pinal na</v>
      </c>
      <c r="E494" s="3" t="str">
        <f>IFERROR(__xludf.DUMMYFUNCTION("INDEX(SPLIT($C494,"" ""), ROW()-ROW($E$489)+1)
"),"inyong")</f>
        <v>inyong</v>
      </c>
      <c r="F494" s="30" t="s">
        <v>16</v>
      </c>
      <c r="G494" s="2"/>
      <c r="H494" s="1" t="s">
        <v>0</v>
      </c>
      <c r="I494" s="2"/>
      <c r="J494" s="2"/>
      <c r="K494" s="1" t="s">
        <v>15</v>
      </c>
    </row>
    <row r="495" ht="15.75" customHeight="1">
      <c r="A495" s="1">
        <v>494.0</v>
      </c>
      <c r="B495" s="1">
        <v>15.0</v>
      </c>
      <c r="C495" s="4" t="s">
        <v>38</v>
      </c>
      <c r="D495" s="5" t="str">
        <f>IFERROR(__xludf.DUMMYFUNCTION("LET(
  words, TRANSPOSE(SPLIT($C495,""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inyong pinal na grado")</f>
        <v>ang inyong pinal na grado</v>
      </c>
      <c r="E495" s="3" t="str">
        <f>IFERROR(__xludf.DUMMYFUNCTION("INDEX(SPLIT($C495,"" ""), ROW()-ROW($E$489)+1)
"),"pinal")</f>
        <v>pinal</v>
      </c>
      <c r="F495" s="30" t="s">
        <v>16</v>
      </c>
      <c r="G495" s="2"/>
      <c r="H495" s="1" t="s">
        <v>0</v>
      </c>
      <c r="I495" s="2"/>
      <c r="J495" s="2"/>
      <c r="K495" s="1" t="s">
        <v>15</v>
      </c>
    </row>
    <row r="496" ht="15.75" customHeight="1">
      <c r="A496" s="1">
        <v>495.0</v>
      </c>
      <c r="B496" s="1">
        <v>15.0</v>
      </c>
      <c r="C496" s="4" t="s">
        <v>38</v>
      </c>
      <c r="D496" s="5" t="str">
        <f>IFERROR(__xludf.DUMMYFUNCTION("LET(
  words, TRANSPOSE(SPLIT($C496,""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)"),"inyong pinal na grado .")</f>
        <v>inyong pinal na grado .</v>
      </c>
      <c r="E496" s="3" t="str">
        <f>IFERROR(__xludf.DUMMYFUNCTION("INDEX(SPLIT($C496,"" ""), ROW()-ROW($E$489)+1)
"),"na")</f>
        <v>na</v>
      </c>
      <c r="F496" s="30" t="s">
        <v>16</v>
      </c>
      <c r="G496" s="2"/>
      <c r="H496" s="1" t="s">
        <v>0</v>
      </c>
      <c r="I496" s="2"/>
      <c r="J496" s="2"/>
      <c r="K496" s="1" t="s">
        <v>15</v>
      </c>
    </row>
    <row r="497" ht="15.75" customHeight="1">
      <c r="A497" s="1">
        <v>496.0</v>
      </c>
      <c r="B497" s="1">
        <v>15.0</v>
      </c>
      <c r="C497" s="4" t="s">
        <v>38</v>
      </c>
      <c r="D497" s="5" t="str">
        <f>IFERROR(__xludf.DUMMYFUNCTION("LET(
  words, TRANSPOSE(SPLIT($C497,""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)"),"pinal na grado . Kalakip")</f>
        <v>pinal na grado . Kalakip</v>
      </c>
      <c r="E497" s="3" t="str">
        <f>IFERROR(__xludf.DUMMYFUNCTION("INDEX(SPLIT($C497,"" ""), ROW()-ROW($E$489)+1)
"),"grado")</f>
        <v>grado</v>
      </c>
      <c r="F497" s="30" t="s">
        <v>16</v>
      </c>
      <c r="G497" s="2"/>
      <c r="H497" s="1" t="s">
        <v>0</v>
      </c>
      <c r="I497" s="2"/>
      <c r="J497" s="2"/>
      <c r="K497" s="1" t="s">
        <v>15</v>
      </c>
    </row>
    <row r="498" ht="15.75" customHeight="1">
      <c r="A498" s="1">
        <v>497.0</v>
      </c>
      <c r="B498" s="1">
        <v>15.0</v>
      </c>
      <c r="C498" s="4" t="s">
        <v>38</v>
      </c>
      <c r="D498" s="5" t="str">
        <f>IFERROR(__xludf.DUMMYFUNCTION("LET(
  words, TRANSPOSE(SPLIT($C498,""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grado . Kalakip ang")</f>
        <v>na grado . Kalakip ang</v>
      </c>
      <c r="E498" s="3" t="str">
        <f>IFERROR(__xludf.DUMMYFUNCTION("INDEX(SPLIT($C498,"" ""), ROW()-ROW($E$489)+1)
"),".")</f>
        <v>.</v>
      </c>
      <c r="F498" s="30" t="s">
        <v>17</v>
      </c>
      <c r="G498" s="2"/>
      <c r="H498" s="1" t="s">
        <v>0</v>
      </c>
      <c r="I498" s="2"/>
      <c r="J498" s="2"/>
      <c r="K498" s="1" t="s">
        <v>15</v>
      </c>
    </row>
    <row r="499" ht="15.75" customHeight="1">
      <c r="A499" s="1">
        <v>498.0</v>
      </c>
      <c r="B499" s="1">
        <v>15.0</v>
      </c>
      <c r="C499" s="4" t="s">
        <v>38</v>
      </c>
      <c r="D499" s="5" t="str">
        <f>IFERROR(__xludf.DUMMYFUNCTION("LET(
  words, TRANSPOSE(SPLIT($C499,""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)"),"grado . Kalakip ang pagbati")</f>
        <v>grado . Kalakip ang pagbati</v>
      </c>
      <c r="E499" s="3" t="str">
        <f>IFERROR(__xludf.DUMMYFUNCTION("INDEX(SPLIT($C499,"" ""), ROW()-ROW($E$489)+1)
"),"Kalakip")</f>
        <v>Kalakip</v>
      </c>
      <c r="F499" s="30" t="s">
        <v>16</v>
      </c>
      <c r="G499" s="2"/>
      <c r="H499" s="1" t="s">
        <v>0</v>
      </c>
      <c r="I499" s="2"/>
      <c r="J499" s="2"/>
      <c r="K499" s="1" t="s">
        <v>15</v>
      </c>
    </row>
    <row r="500" ht="15.75" customHeight="1">
      <c r="A500" s="1">
        <v>499.0</v>
      </c>
      <c r="B500" s="1">
        <v>15.0</v>
      </c>
      <c r="C500" s="4" t="s">
        <v>38</v>
      </c>
      <c r="D500" s="5" t="str">
        <f>IFERROR(__xludf.DUMMYFUNCTION("LET(
  words, TRANSPOSE(SPLIT($C500,""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Kalakip ang pagbati sa")</f>
        <v>. Kalakip ang pagbati sa</v>
      </c>
      <c r="E500" s="3" t="str">
        <f>IFERROR(__xludf.DUMMYFUNCTION("INDEX(SPLIT($C500,"" ""), ROW()-ROW($E$489)+1)
"),"ang")</f>
        <v>ang</v>
      </c>
      <c r="F500" s="30" t="s">
        <v>16</v>
      </c>
      <c r="G500" s="2"/>
      <c r="H500" s="1" t="s">
        <v>0</v>
      </c>
      <c r="I500" s="2"/>
      <c r="J500" s="2"/>
      <c r="K500" s="1" t="s">
        <v>15</v>
      </c>
    </row>
    <row r="501" ht="15.75" customHeight="1">
      <c r="A501" s="1">
        <v>500.0</v>
      </c>
      <c r="B501" s="1">
        <v>15.0</v>
      </c>
      <c r="C501" s="4" t="s">
        <v>38</v>
      </c>
      <c r="D501" s="5" t="str">
        <f>IFERROR(__xludf.DUMMYFUNCTION("LET(
  words, TRANSPOSE(SPLIT($C501,""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)"),"Kalakip ang pagbati sa mga")</f>
        <v>Kalakip ang pagbati sa mga</v>
      </c>
      <c r="E501" s="3" t="str">
        <f>IFERROR(__xludf.DUMMYFUNCTION("INDEX(SPLIT($C501,"" ""), ROW()-ROW($E$489)+1)
"),"pagbati")</f>
        <v>pagbati</v>
      </c>
      <c r="F501" s="30" t="s">
        <v>16</v>
      </c>
      <c r="G501" s="2"/>
      <c r="H501" s="1" t="s">
        <v>0</v>
      </c>
      <c r="I501" s="2"/>
      <c r="J501" s="2"/>
      <c r="K501" s="1" t="s">
        <v>15</v>
      </c>
    </row>
    <row r="502" ht="15.75" customHeight="1">
      <c r="A502" s="1">
        <v>501.0</v>
      </c>
      <c r="B502" s="1">
        <v>15.0</v>
      </c>
      <c r="C502" s="4" t="s">
        <v>38</v>
      </c>
      <c r="D502" s="5" t="str">
        <f>IFERROR(__xludf.DUMMYFUNCTION("LET(
  words, TRANSPOSE(SPLIT($C502,""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pagbati sa mga nangunang")</f>
        <v>ang pagbati sa mga nangunang</v>
      </c>
      <c r="E502" s="3" t="str">
        <f>IFERROR(__xludf.DUMMYFUNCTION("INDEX(SPLIT($C502,"" ""), ROW()-ROW($E$489)+1)
"),"sa")</f>
        <v>sa</v>
      </c>
      <c r="F502" s="30" t="s">
        <v>16</v>
      </c>
      <c r="G502" s="2"/>
      <c r="H502" s="1" t="s">
        <v>0</v>
      </c>
      <c r="I502" s="2"/>
      <c r="J502" s="2"/>
      <c r="K502" s="1" t="s">
        <v>15</v>
      </c>
    </row>
    <row r="503" ht="15.75" customHeight="1">
      <c r="A503" s="1">
        <v>502.0</v>
      </c>
      <c r="B503" s="1">
        <v>15.0</v>
      </c>
      <c r="C503" s="4" t="s">
        <v>38</v>
      </c>
      <c r="D503" s="5" t="str">
        <f>IFERROR(__xludf.DUMMYFUNCTION("LET(
  words, TRANSPOSE(SPLIT($C503,""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)"),"pagbati sa mga nangunang mag-aaral")</f>
        <v>pagbati sa mga nangunang mag-aaral</v>
      </c>
      <c r="E503" s="3" t="str">
        <f>IFERROR(__xludf.DUMMYFUNCTION("INDEX(SPLIT($C503,"" ""), ROW()-ROW($E$489)+1)
"),"mga")</f>
        <v>mga</v>
      </c>
      <c r="F503" s="30" t="s">
        <v>16</v>
      </c>
      <c r="G503" s="2"/>
      <c r="H503" s="1" t="s">
        <v>0</v>
      </c>
      <c r="I503" s="2"/>
      <c r="J503" s="2"/>
      <c r="K503" s="1" t="s">
        <v>15</v>
      </c>
    </row>
    <row r="504" ht="15.75" customHeight="1">
      <c r="A504" s="1">
        <v>503.0</v>
      </c>
      <c r="B504" s="1">
        <v>15.0</v>
      </c>
      <c r="C504" s="4" t="s">
        <v>38</v>
      </c>
      <c r="D504" s="5" t="str">
        <f>IFERROR(__xludf.DUMMYFUNCTION("LET(
  words, TRANSPOSE(SPLIT($C504,""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mga nangunang mag-aaral sa")</f>
        <v>sa mga nangunang mag-aaral sa</v>
      </c>
      <c r="E504" s="3" t="str">
        <f>IFERROR(__xludf.DUMMYFUNCTION("INDEX(SPLIT($C504,"" ""), ROW()-ROW($E$489)+1)
"),"nangunang")</f>
        <v>nangunang</v>
      </c>
      <c r="F504" s="30" t="s">
        <v>16</v>
      </c>
      <c r="G504" s="2"/>
      <c r="H504" s="1" t="s">
        <v>0</v>
      </c>
      <c r="I504" s="2"/>
      <c r="J504" s="2"/>
      <c r="K504" s="1" t="s">
        <v>15</v>
      </c>
    </row>
    <row r="505" ht="15.75" customHeight="1">
      <c r="A505" s="1">
        <v>504.0</v>
      </c>
      <c r="B505" s="1">
        <v>15.0</v>
      </c>
      <c r="C505" s="4" t="s">
        <v>38</v>
      </c>
      <c r="D505" s="5" t="str">
        <f>IFERROR(__xludf.DUMMYFUNCTION("LET(
  words, TRANSPOSE(SPLIT($C505,""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)"),"mga nangunang mag-aaral sa LCFILIA")</f>
        <v>mga nangunang mag-aaral sa LCFILIA</v>
      </c>
      <c r="E505" s="3" t="str">
        <f>IFERROR(__xludf.DUMMYFUNCTION("INDEX(SPLIT($C505,"" ""), ROW()-ROW($E$489)+1)
"),"mag-aaral")</f>
        <v>mag-aaral</v>
      </c>
      <c r="F505" s="30" t="s">
        <v>16</v>
      </c>
      <c r="G505" s="2"/>
      <c r="H505" s="1" t="s">
        <v>0</v>
      </c>
      <c r="I505" s="2"/>
      <c r="J505" s="2"/>
      <c r="K505" s="1" t="s">
        <v>15</v>
      </c>
    </row>
    <row r="506" ht="15.75" customHeight="1">
      <c r="A506" s="1">
        <v>505.0</v>
      </c>
      <c r="B506" s="1">
        <v>15.0</v>
      </c>
      <c r="C506" s="4" t="s">
        <v>38</v>
      </c>
      <c r="D506" s="5" t="str">
        <f>IFERROR(__xludf.DUMMYFUNCTION("LET(
  words, TRANSPOSE(SPLIT($C506,""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)"),"nangunang mag-aaral sa LCFILIA ngayong")</f>
        <v>nangunang mag-aaral sa LCFILIA ngayong</v>
      </c>
      <c r="E506" s="3" t="str">
        <f>IFERROR(__xludf.DUMMYFUNCTION("INDEX(SPLIT($C506,"" ""), ROW()-ROW($E$489)+1)
"),"sa")</f>
        <v>sa</v>
      </c>
      <c r="F506" s="30" t="s">
        <v>16</v>
      </c>
      <c r="G506" s="2"/>
      <c r="H506" s="1" t="s">
        <v>0</v>
      </c>
      <c r="I506" s="2"/>
      <c r="J506" s="2"/>
      <c r="K506" s="1" t="s">
        <v>15</v>
      </c>
    </row>
    <row r="507" ht="15.75" customHeight="1">
      <c r="A507" s="1">
        <v>506.0</v>
      </c>
      <c r="B507" s="1">
        <v>15.0</v>
      </c>
      <c r="C507" s="4" t="s">
        <v>38</v>
      </c>
      <c r="D507" s="5" t="str">
        <f>IFERROR(__xludf.DUMMYFUNCTION("LET(
  words, TRANSPOSE(SPLIT($C507,""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)"),"mag-aaral sa LCFILIA ngayong termino")</f>
        <v>mag-aaral sa LCFILIA ngayong termino</v>
      </c>
      <c r="E507" s="3" t="str">
        <f>IFERROR(__xludf.DUMMYFUNCTION("INDEX(SPLIT($C507,"" ""), ROW()-ROW($E$489)+1)
"),"LCFILIA")</f>
        <v>LCFILIA</v>
      </c>
      <c r="F507" s="30" t="s">
        <v>18</v>
      </c>
      <c r="G507" s="1" t="s">
        <v>31</v>
      </c>
      <c r="H507" s="1" t="s">
        <v>0</v>
      </c>
      <c r="I507" s="2"/>
      <c r="J507" s="2"/>
      <c r="K507" s="1" t="s">
        <v>15</v>
      </c>
    </row>
    <row r="508" ht="15.75" customHeight="1">
      <c r="A508" s="1">
        <v>507.0</v>
      </c>
      <c r="B508" s="1">
        <v>15.0</v>
      </c>
      <c r="C508" s="4" t="s">
        <v>38</v>
      </c>
      <c r="D508" s="5" t="str">
        <f>IFERROR(__xludf.DUMMYFUNCTION("LET(
  words, TRANSPOSE(SPLIT($C508,""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LCFILIA ngayong termino ,")</f>
        <v>sa LCFILIA ngayong termino ,</v>
      </c>
      <c r="E508" s="3" t="str">
        <f>IFERROR(__xludf.DUMMYFUNCTION("INDEX(SPLIT($C508,"" ""), ROW()-ROW($E$489)+1)
"),"ngayong")</f>
        <v>ngayong</v>
      </c>
      <c r="F508" s="30" t="s">
        <v>16</v>
      </c>
      <c r="G508" s="2"/>
      <c r="H508" s="1" t="s">
        <v>0</v>
      </c>
      <c r="I508" s="2"/>
      <c r="J508" s="2"/>
      <c r="K508" s="1" t="s">
        <v>15</v>
      </c>
    </row>
    <row r="509" ht="15.75" customHeight="1">
      <c r="A509" s="1">
        <v>508.0</v>
      </c>
      <c r="B509" s="1">
        <v>15.0</v>
      </c>
      <c r="C509" s="4" t="s">
        <v>38</v>
      </c>
      <c r="D509" s="5" t="str">
        <f>IFERROR(__xludf.DUMMYFUNCTION("LET(
  words, TRANSPOSE(SPLIT($C509,""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)"),"LCFILIA ngayong termino , gayundin")</f>
        <v>LCFILIA ngayong termino , gayundin</v>
      </c>
      <c r="E509" s="3" t="str">
        <f>IFERROR(__xludf.DUMMYFUNCTION("INDEX(SPLIT($C509,"" ""), ROW()-ROW($E$489)+1)
"),"termino")</f>
        <v>termino</v>
      </c>
      <c r="F509" s="30" t="s">
        <v>16</v>
      </c>
      <c r="G509" s="2"/>
      <c r="H509" s="1" t="s">
        <v>0</v>
      </c>
      <c r="I509" s="2"/>
      <c r="J509" s="2"/>
      <c r="K509" s="1" t="s">
        <v>15</v>
      </c>
    </row>
    <row r="510" ht="15.75" customHeight="1">
      <c r="A510" s="1">
        <v>509.0</v>
      </c>
      <c r="B510" s="1">
        <v>15.0</v>
      </c>
      <c r="C510" s="4" t="s">
        <v>38</v>
      </c>
      <c r="D510" s="5" t="str">
        <f>IFERROR(__xludf.DUMMYFUNCTION("LET(
  words, TRANSPOSE(SPLIT($C510,""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)"),"ngayong termino , gayundin ang")</f>
        <v>ngayong termino , gayundin ang</v>
      </c>
      <c r="E510" s="3" t="str">
        <f>IFERROR(__xludf.DUMMYFUNCTION("INDEX(SPLIT($C510,"" ""), ROW()-ROW($E$489)+1)
"),",")</f>
        <v>,</v>
      </c>
      <c r="F510" s="30" t="s">
        <v>17</v>
      </c>
      <c r="G510" s="2"/>
      <c r="H510" s="1" t="s">
        <v>0</v>
      </c>
      <c r="I510" s="2"/>
      <c r="J510" s="2"/>
      <c r="K510" s="1" t="s">
        <v>15</v>
      </c>
    </row>
    <row r="511" ht="15.75" customHeight="1">
      <c r="A511" s="1">
        <v>510.0</v>
      </c>
      <c r="B511" s="1">
        <v>15.0</v>
      </c>
      <c r="C511" s="4" t="s">
        <v>38</v>
      </c>
      <c r="D511" s="5" t="str">
        <f>IFERROR(__xludf.DUMMYFUNCTION("LET(
  words, TRANSPOSE(SPLIT($C511,""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)"),"termino , gayundin ang PDF")</f>
        <v>termino , gayundin ang PDF</v>
      </c>
      <c r="E511" s="3" t="str">
        <f>IFERROR(__xludf.DUMMYFUNCTION("INDEX(SPLIT($C511,"" ""), ROW()-ROW($E$489)+1)
"),"gayundin")</f>
        <v>gayundin</v>
      </c>
      <c r="F511" s="30" t="s">
        <v>16</v>
      </c>
      <c r="G511" s="2"/>
      <c r="H511" s="1" t="s">
        <v>0</v>
      </c>
      <c r="I511" s="2"/>
      <c r="J511" s="2"/>
      <c r="K511" s="1" t="s">
        <v>15</v>
      </c>
    </row>
    <row r="512" ht="15.75" customHeight="1">
      <c r="A512" s="1">
        <v>511.0</v>
      </c>
      <c r="B512" s="1">
        <v>15.0</v>
      </c>
      <c r="C512" s="4" t="s">
        <v>38</v>
      </c>
      <c r="D512" s="5" t="str">
        <f>IFERROR(__xludf.DUMMYFUNCTION("LET(
  words, TRANSPOSE(SPLIT($C512,""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gayundin ang PDF na")</f>
        <v>, gayundin ang PDF na</v>
      </c>
      <c r="E512" s="3" t="str">
        <f>IFERROR(__xludf.DUMMYFUNCTION("INDEX(SPLIT($C512,"" ""), ROW()-ROW($E$489)+1)
"),"ang")</f>
        <v>ang</v>
      </c>
      <c r="F512" s="30" t="s">
        <v>16</v>
      </c>
      <c r="G512" s="2"/>
      <c r="H512" s="1" t="s">
        <v>0</v>
      </c>
      <c r="I512" s="2"/>
      <c r="J512" s="2"/>
      <c r="K512" s="1" t="s">
        <v>15</v>
      </c>
    </row>
    <row r="513" ht="15.75" customHeight="1">
      <c r="A513" s="1">
        <v>512.0</v>
      </c>
      <c r="B513" s="1">
        <v>15.0</v>
      </c>
      <c r="C513" s="4" t="s">
        <v>38</v>
      </c>
      <c r="D513" s="5" t="str">
        <f>IFERROR(__xludf.DUMMYFUNCTION("LET(
  words, TRANSPOSE(SPLIT($C513,""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)"),"gayundin ang PDF na naglalaman")</f>
        <v>gayundin ang PDF na naglalaman</v>
      </c>
      <c r="E513" s="3" t="str">
        <f>IFERROR(__xludf.DUMMYFUNCTION("INDEX(SPLIT($C513,"" ""), ROW()-ROW($E$489)+1)
"),"PDF")</f>
        <v>PDF</v>
      </c>
      <c r="F513" s="30" t="s">
        <v>18</v>
      </c>
      <c r="G513" s="1" t="s">
        <v>31</v>
      </c>
      <c r="H513" s="1" t="s">
        <v>0</v>
      </c>
      <c r="I513" s="2"/>
      <c r="J513" s="2"/>
      <c r="K513" s="1" t="s">
        <v>15</v>
      </c>
    </row>
    <row r="514" ht="15.75" customHeight="1">
      <c r="A514" s="1">
        <v>513.0</v>
      </c>
      <c r="B514" s="1">
        <v>15.0</v>
      </c>
      <c r="C514" s="4" t="s">
        <v>38</v>
      </c>
      <c r="D514" s="5" t="str">
        <f>IFERROR(__xludf.DUMMYFUNCTION("LET(
  words, TRANSPOSE(SPLIT($C514,""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PDF na naglalaman ng")</f>
        <v>ang PDF na naglalaman ng</v>
      </c>
      <c r="E514" s="3" t="str">
        <f>IFERROR(__xludf.DUMMYFUNCTION("INDEX(SPLIT($C514,"" ""), ROW()-ROW($E$489)+1)
"),"na")</f>
        <v>na</v>
      </c>
      <c r="F514" s="30" t="s">
        <v>16</v>
      </c>
      <c r="G514" s="2"/>
      <c r="H514" s="1" t="s">
        <v>0</v>
      </c>
      <c r="I514" s="2"/>
      <c r="J514" s="2"/>
      <c r="K514" s="1" t="s">
        <v>15</v>
      </c>
    </row>
    <row r="515" ht="15.75" customHeight="1">
      <c r="A515" s="1">
        <v>514.0</v>
      </c>
      <c r="B515" s="1">
        <v>15.0</v>
      </c>
      <c r="C515" s="4" t="s">
        <v>38</v>
      </c>
      <c r="D515" s="5" t="str">
        <f>IFERROR(__xludf.DUMMYFUNCTION("LET(
  words, TRANSPOSE(SPLIT($C515,""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)"),"PDF na naglalaman ng ilang")</f>
        <v>PDF na naglalaman ng ilang</v>
      </c>
      <c r="E515" s="3" t="str">
        <f>IFERROR(__xludf.DUMMYFUNCTION("INDEX(SPLIT($C515,"" ""), ROW()-ROW($E$489)+1)
"),"naglalaman")</f>
        <v>naglalaman</v>
      </c>
      <c r="F515" s="30" t="s">
        <v>16</v>
      </c>
      <c r="G515" s="2"/>
      <c r="H515" s="1" t="s">
        <v>0</v>
      </c>
      <c r="I515" s="2"/>
      <c r="J515" s="2"/>
      <c r="K515" s="1" t="s">
        <v>15</v>
      </c>
    </row>
    <row r="516" ht="15.75" customHeight="1">
      <c r="A516" s="1">
        <v>515.0</v>
      </c>
      <c r="B516" s="1">
        <v>15.0</v>
      </c>
      <c r="C516" s="4" t="s">
        <v>38</v>
      </c>
      <c r="D516" s="5" t="str">
        <f>IFERROR(__xludf.DUMMYFUNCTION("LET(
  words, TRANSPOSE(SPLIT($C516,""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naglalaman ng ilang mahahalagang")</f>
        <v>na naglalaman ng ilang mahahalagang</v>
      </c>
      <c r="E516" s="3" t="str">
        <f>IFERROR(__xludf.DUMMYFUNCTION("INDEX(SPLIT($C516,"" ""), ROW()-ROW($E$489)+1)
"),"ng")</f>
        <v>ng</v>
      </c>
      <c r="F516" s="30" t="s">
        <v>16</v>
      </c>
      <c r="G516" s="2"/>
      <c r="H516" s="1" t="s">
        <v>0</v>
      </c>
      <c r="I516" s="2"/>
      <c r="J516" s="2"/>
      <c r="K516" s="1" t="s">
        <v>15</v>
      </c>
    </row>
    <row r="517" ht="15.75" customHeight="1">
      <c r="A517" s="1">
        <v>516.0</v>
      </c>
      <c r="B517" s="1">
        <v>15.0</v>
      </c>
      <c r="C517" s="4" t="s">
        <v>38</v>
      </c>
      <c r="D517" s="5" t="str">
        <f>IFERROR(__xludf.DUMMYFUNCTION("LET(
  words, TRANSPOSE(SPLIT($C517,""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)"),"naglalaman ng ilang mahahalagang pabatid")</f>
        <v>naglalaman ng ilang mahahalagang pabatid</v>
      </c>
      <c r="E517" s="3" t="str">
        <f>IFERROR(__xludf.DUMMYFUNCTION("INDEX(SPLIT($C517,"" ""), ROW()-ROW($E$489)+1)
"),"ilang")</f>
        <v>ilang</v>
      </c>
      <c r="F517" s="30" t="s">
        <v>16</v>
      </c>
      <c r="G517" s="2"/>
      <c r="H517" s="1" t="s">
        <v>0</v>
      </c>
      <c r="I517" s="2"/>
      <c r="J517" s="2"/>
      <c r="K517" s="1" t="s">
        <v>15</v>
      </c>
    </row>
    <row r="518" ht="15.75" customHeight="1">
      <c r="A518" s="1">
        <v>517.0</v>
      </c>
      <c r="B518" s="1">
        <v>15.0</v>
      </c>
      <c r="C518" s="4" t="s">
        <v>38</v>
      </c>
      <c r="D518" s="5" t="str">
        <f>IFERROR(__xludf.DUMMYFUNCTION("LET(
  words, TRANSPOSE(SPLIT($C518,""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)"),"ng ilang mahahalagang pabatid ukol")</f>
        <v>ng ilang mahahalagang pabatid ukol</v>
      </c>
      <c r="E518" s="3" t="str">
        <f>IFERROR(__xludf.DUMMYFUNCTION("INDEX(SPLIT($C518,"" ""), ROW()-ROW($E$489)+1)
"),"mahahalagang")</f>
        <v>mahahalagang</v>
      </c>
      <c r="F518" s="30" t="s">
        <v>16</v>
      </c>
      <c r="G518" s="2"/>
      <c r="H518" s="1" t="s">
        <v>0</v>
      </c>
      <c r="I518" s="2"/>
      <c r="J518" s="2"/>
      <c r="K518" s="1" t="s">
        <v>15</v>
      </c>
    </row>
    <row r="519" ht="15.75" customHeight="1">
      <c r="A519" s="1">
        <v>518.0</v>
      </c>
      <c r="B519" s="1">
        <v>15.0</v>
      </c>
      <c r="C519" s="4" t="s">
        <v>38</v>
      </c>
      <c r="D519" s="5" t="str">
        <f>IFERROR(__xludf.DUMMYFUNCTION("LET(
  words, TRANSPOSE(SPLIT($C519,""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)"),"ilang mahahalagang pabatid ukol sa")</f>
        <v>ilang mahahalagang pabatid ukol sa</v>
      </c>
      <c r="E519" s="3" t="str">
        <f>IFERROR(__xludf.DUMMYFUNCTION("INDEX(SPLIT($C519,"" ""), ROW()-ROW($E$489)+1)
"),"pabatid")</f>
        <v>pabatid</v>
      </c>
      <c r="F519" s="30" t="s">
        <v>16</v>
      </c>
      <c r="G519" s="2"/>
      <c r="H519" s="1" t="s">
        <v>0</v>
      </c>
      <c r="I519" s="2"/>
      <c r="J519" s="2"/>
      <c r="K519" s="1" t="s">
        <v>15</v>
      </c>
    </row>
    <row r="520" ht="15.75" customHeight="1">
      <c r="A520" s="1">
        <v>519.0</v>
      </c>
      <c r="B520" s="1">
        <v>15.0</v>
      </c>
      <c r="C520" s="4" t="s">
        <v>38</v>
      </c>
      <c r="D520" s="5" t="str">
        <f>IFERROR(__xludf.DUMMYFUNCTION("LET(
  words, TRANSPOSE(SPLIT($C520,""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)"),"mahahalagang pabatid ukol sa inyong")</f>
        <v>mahahalagang pabatid ukol sa inyong</v>
      </c>
      <c r="E520" s="3" t="str">
        <f>IFERROR(__xludf.DUMMYFUNCTION("INDEX(SPLIT($C520,"" ""), ROW()-ROW($E$489)+1)
"),"ukol")</f>
        <v>ukol</v>
      </c>
      <c r="F520" s="30" t="s">
        <v>16</v>
      </c>
      <c r="G520" s="2"/>
      <c r="H520" s="1" t="s">
        <v>0</v>
      </c>
      <c r="I520" s="2"/>
      <c r="J520" s="2"/>
      <c r="K520" s="1" t="s">
        <v>15</v>
      </c>
    </row>
    <row r="521" ht="15.75" customHeight="1">
      <c r="A521" s="1">
        <v>520.0</v>
      </c>
      <c r="B521" s="1">
        <v>15.0</v>
      </c>
      <c r="C521" s="4" t="s">
        <v>38</v>
      </c>
      <c r="D521" s="5" t="str">
        <f>IFERROR(__xludf.DUMMYFUNCTION("LET(
  words, TRANSPOSE(SPLIT($C521,""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)"),"pabatid ukol sa inyong grado")</f>
        <v>pabatid ukol sa inyong grado</v>
      </c>
      <c r="E521" s="3" t="str">
        <f>IFERROR(__xludf.DUMMYFUNCTION("INDEX(SPLIT($C521,"" ""), ROW()-ROW($E$489)+1)
"),"sa")</f>
        <v>sa</v>
      </c>
      <c r="F521" s="30" t="s">
        <v>16</v>
      </c>
      <c r="G521" s="2"/>
      <c r="H521" s="1" t="s">
        <v>0</v>
      </c>
      <c r="I521" s="2"/>
      <c r="J521" s="2"/>
      <c r="K521" s="1" t="s">
        <v>15</v>
      </c>
    </row>
    <row r="522" ht="15.75" customHeight="1">
      <c r="A522" s="1">
        <v>521.0</v>
      </c>
      <c r="B522" s="1">
        <v>15.0</v>
      </c>
      <c r="C522" s="4" t="s">
        <v>38</v>
      </c>
      <c r="D522" s="5" t="str">
        <f>IFERROR(__xludf.DUMMYFUNCTION("LET(
  words, TRANSPOSE(SPLIT($C522,""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)"),"ukol sa inyong grado at")</f>
        <v>ukol sa inyong grado at</v>
      </c>
      <c r="E522" s="3" t="str">
        <f>IFERROR(__xludf.DUMMYFUNCTION("INDEX(SPLIT($C522,"" ""), ROW()-ROW($E$489)+1)
"),"inyong")</f>
        <v>inyong</v>
      </c>
      <c r="F522" s="30" t="s">
        <v>16</v>
      </c>
      <c r="G522" s="2"/>
      <c r="H522" s="1" t="s">
        <v>0</v>
      </c>
      <c r="I522" s="2"/>
      <c r="J522" s="2"/>
      <c r="K522" s="1" t="s">
        <v>15</v>
      </c>
    </row>
    <row r="523" ht="15.75" customHeight="1">
      <c r="A523" s="1">
        <v>522.0</v>
      </c>
      <c r="B523" s="1">
        <v>15.0</v>
      </c>
      <c r="C523" s="4" t="s">
        <v>38</v>
      </c>
      <c r="D523" s="5" t="str">
        <f>IFERROR(__xludf.DUMMYFUNCTION("LET(
  words, TRANSPOSE(SPLIT($C523,""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inyong grado at sa")</f>
        <v>sa inyong grado at sa</v>
      </c>
      <c r="E523" s="3" t="str">
        <f>IFERROR(__xludf.DUMMYFUNCTION("INDEX(SPLIT($C523,"" ""), ROW()-ROW($E$489)+1)
"),"grado")</f>
        <v>grado</v>
      </c>
      <c r="F523" s="30" t="s">
        <v>16</v>
      </c>
      <c r="G523" s="2"/>
      <c r="H523" s="1" t="s">
        <v>0</v>
      </c>
      <c r="I523" s="2"/>
      <c r="J523" s="2"/>
      <c r="K523" s="1" t="s">
        <v>15</v>
      </c>
    </row>
    <row r="524" ht="15.75" customHeight="1">
      <c r="A524" s="1">
        <v>523.0</v>
      </c>
      <c r="B524" s="1">
        <v>15.0</v>
      </c>
      <c r="C524" s="4" t="s">
        <v>38</v>
      </c>
      <c r="D524" s="5" t="str">
        <f>IFERROR(__xludf.DUMMYFUNCTION("LET(
  words, TRANSPOSE(SPLIT($C524,""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)"),"inyong grado at sa ating")</f>
        <v>inyong grado at sa ating</v>
      </c>
      <c r="E524" s="3" t="str">
        <f>IFERROR(__xludf.DUMMYFUNCTION("INDEX(SPLIT($C524,"" ""), ROW()-ROW($E$489)+1)
"),"at")</f>
        <v>at</v>
      </c>
      <c r="F524" s="30" t="s">
        <v>16</v>
      </c>
      <c r="G524" s="2"/>
      <c r="H524" s="1" t="s">
        <v>0</v>
      </c>
      <c r="I524" s="2"/>
      <c r="J524" s="2"/>
      <c r="K524" s="1" t="s">
        <v>15</v>
      </c>
    </row>
    <row r="525" ht="15.75" customHeight="1">
      <c r="A525" s="1">
        <v>524.0</v>
      </c>
      <c r="B525" s="1">
        <v>15.0</v>
      </c>
      <c r="C525" s="4" t="s">
        <v>38</v>
      </c>
      <c r="D525" s="5" t="str">
        <f>IFERROR(__xludf.DUMMYFUNCTION("LET(
  words, TRANSPOSE(SPLIT($C525,""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)"),"grado at sa ating early")</f>
        <v>grado at sa ating early</v>
      </c>
      <c r="E525" s="3" t="str">
        <f>IFERROR(__xludf.DUMMYFUNCTION("INDEX(SPLIT($C525,"" ""), ROW()-ROW($E$489)+1)
"),"sa")</f>
        <v>sa</v>
      </c>
      <c r="F525" s="30" t="s">
        <v>16</v>
      </c>
      <c r="G525" s="2"/>
      <c r="H525" s="1" t="s">
        <v>0</v>
      </c>
      <c r="I525" s="2"/>
      <c r="J525" s="2"/>
      <c r="K525" s="1" t="s">
        <v>15</v>
      </c>
    </row>
    <row r="526" ht="15.75" customHeight="1">
      <c r="A526" s="1">
        <v>525.0</v>
      </c>
      <c r="B526" s="1">
        <v>15.0</v>
      </c>
      <c r="C526" s="4" t="s">
        <v>38</v>
      </c>
      <c r="D526" s="5" t="str">
        <f>IFERROR(__xludf.DUMMYFUNCTION("LET(
  words, TRANSPOSE(SPLIT($C526,""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)"),"at sa ating early GCD")</f>
        <v>at sa ating early GCD</v>
      </c>
      <c r="E526" s="3" t="str">
        <f>IFERROR(__xludf.DUMMYFUNCTION("INDEX(SPLIT($C526,"" ""), ROW()-ROW($E$489)+1)
"),"ating")</f>
        <v>ating</v>
      </c>
      <c r="F526" s="30" t="s">
        <v>16</v>
      </c>
      <c r="G526" s="2"/>
      <c r="H526" s="1" t="s">
        <v>0</v>
      </c>
      <c r="I526" s="2"/>
      <c r="J526" s="2"/>
      <c r="K526" s="1" t="s">
        <v>15</v>
      </c>
    </row>
    <row r="527" ht="15.75" customHeight="1">
      <c r="A527" s="1">
        <v>526.0</v>
      </c>
      <c r="B527" s="1">
        <v>15.0</v>
      </c>
      <c r="C527" s="4" t="s">
        <v>38</v>
      </c>
      <c r="D527" s="5" t="str">
        <f>IFERROR(__xludf.DUMMYFUNCTION("LET(
  words, TRANSPOSE(SPLIT($C527,""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ating early GCD na")</f>
        <v>sa ating early GCD na</v>
      </c>
      <c r="E527" s="3" t="str">
        <f>IFERROR(__xludf.DUMMYFUNCTION("INDEX(SPLIT($C527,"" ""), ROW()-ROW($E$489)+1)
"),"early")</f>
        <v>early</v>
      </c>
      <c r="F527" s="30" t="s">
        <v>18</v>
      </c>
      <c r="G527" s="2"/>
      <c r="H527" s="1" t="s">
        <v>0</v>
      </c>
      <c r="I527" s="2"/>
      <c r="J527" s="2"/>
      <c r="K527" s="1" t="s">
        <v>15</v>
      </c>
    </row>
    <row r="528" ht="15.75" customHeight="1">
      <c r="A528" s="1">
        <v>527.0</v>
      </c>
      <c r="B528" s="1">
        <v>15.0</v>
      </c>
      <c r="C528" s="4" t="s">
        <v>38</v>
      </c>
      <c r="D528" s="5" t="str">
        <f>IFERROR(__xludf.DUMMYFUNCTION("LET(
  words, TRANSPOSE(SPLIT($C528,""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)"),"ating early GCD na magaganap")</f>
        <v>ating early GCD na magaganap</v>
      </c>
      <c r="E528" s="3" t="str">
        <f>IFERROR(__xludf.DUMMYFUNCTION("INDEX(SPLIT($C528,"" ""), ROW()-ROW($E$489)+1)
"),"GCD")</f>
        <v>GCD</v>
      </c>
      <c r="F528" s="30" t="s">
        <v>18</v>
      </c>
      <c r="G528" s="1" t="s">
        <v>31</v>
      </c>
      <c r="H528" s="1" t="s">
        <v>0</v>
      </c>
      <c r="I528" s="2"/>
      <c r="J528" s="2"/>
      <c r="K528" s="1" t="s">
        <v>15</v>
      </c>
    </row>
    <row r="529" ht="15.75" customHeight="1">
      <c r="A529" s="1">
        <v>528.0</v>
      </c>
      <c r="B529" s="1">
        <v>15.0</v>
      </c>
      <c r="C529" s="4" t="s">
        <v>38</v>
      </c>
      <c r="D529" s="5" t="str">
        <f>IFERROR(__xludf.DUMMYFUNCTION("LET(
  words, TRANSPOSE(SPLIT($C529,""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)"),"early GCD na magaganap MAMAYA")</f>
        <v>early GCD na magaganap MAMAYA</v>
      </c>
      <c r="E529" s="3" t="str">
        <f>IFERROR(__xludf.DUMMYFUNCTION("INDEX(SPLIT($C529,"" ""), ROW()-ROW($E$489)+1)
"),"na")</f>
        <v>na</v>
      </c>
      <c r="F529" s="30" t="s">
        <v>16</v>
      </c>
      <c r="G529" s="2"/>
      <c r="H529" s="1" t="s">
        <v>0</v>
      </c>
      <c r="I529" s="2"/>
      <c r="J529" s="2"/>
      <c r="K529" s="1" t="s">
        <v>15</v>
      </c>
    </row>
    <row r="530" ht="15.75" customHeight="1">
      <c r="A530" s="1">
        <v>529.0</v>
      </c>
      <c r="B530" s="1">
        <v>15.0</v>
      </c>
      <c r="C530" s="4" t="s">
        <v>38</v>
      </c>
      <c r="D530" s="5" t="str">
        <f>IFERROR(__xludf.DUMMYFUNCTION("LET(
  words, TRANSPOSE(SPLIT($C530,""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)"),"GCD na magaganap MAMAYA ,")</f>
        <v>GCD na magaganap MAMAYA ,</v>
      </c>
      <c r="E530" s="3" t="str">
        <f>IFERROR(__xludf.DUMMYFUNCTION("INDEX(SPLIT($C530,"" ""), ROW()-ROW($E$489)+1)
"),"magaganap")</f>
        <v>magaganap</v>
      </c>
      <c r="F530" s="30" t="s">
        <v>16</v>
      </c>
      <c r="G530" s="2"/>
      <c r="H530" s="1" t="s">
        <v>0</v>
      </c>
      <c r="I530" s="2"/>
      <c r="J530" s="2"/>
      <c r="K530" s="1" t="s">
        <v>15</v>
      </c>
    </row>
    <row r="531" ht="15.75" customHeight="1">
      <c r="A531" s="1">
        <v>530.0</v>
      </c>
      <c r="B531" s="1">
        <v>15.0</v>
      </c>
      <c r="C531" s="4" t="s">
        <v>38</v>
      </c>
      <c r="D531" s="5" t="str">
        <f>IFERROR(__xludf.DUMMYFUNCTION("LET(
  words, TRANSPOSE(SPLIT($C531,""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magaganap MAMAYA , 4")</f>
        <v>na magaganap MAMAYA , 4</v>
      </c>
      <c r="E531" s="3" t="str">
        <f>IFERROR(__xludf.DUMMYFUNCTION("INDEX(SPLIT($C531,"" ""), ROW()-ROW($E$489)+1)
"),"MAMAYA")</f>
        <v>MAMAYA</v>
      </c>
      <c r="F531" s="30" t="s">
        <v>16</v>
      </c>
      <c r="G531" s="2"/>
      <c r="H531" s="1" t="s">
        <v>0</v>
      </c>
      <c r="I531" s="2"/>
      <c r="J531" s="2"/>
      <c r="K531" s="1" t="s">
        <v>15</v>
      </c>
    </row>
    <row r="532" ht="15.75" customHeight="1">
      <c r="A532" s="1">
        <v>531.0</v>
      </c>
      <c r="B532" s="1">
        <v>15.0</v>
      </c>
      <c r="C532" s="4" t="s">
        <v>38</v>
      </c>
      <c r="D532" s="5" t="str">
        <f>IFERROR(__xludf.DUMMYFUNCTION("LET(
  words, TRANSPOSE(SPLIT($C532,""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)"),"magaganap MAMAYA , 4 :")</f>
        <v>magaganap MAMAYA , 4 :</v>
      </c>
      <c r="E532" s="3" t="str">
        <f>IFERROR(__xludf.DUMMYFUNCTION("INDEX(SPLIT($C532,"" ""), ROW()-ROW($E$489)+1)
"),",")</f>
        <v>,</v>
      </c>
      <c r="F532" s="30" t="s">
        <v>17</v>
      </c>
      <c r="G532" s="2"/>
      <c r="H532" s="1" t="s">
        <v>0</v>
      </c>
      <c r="I532" s="2"/>
      <c r="J532" s="2"/>
      <c r="K532" s="1" t="s">
        <v>15</v>
      </c>
    </row>
    <row r="533" ht="15.75" customHeight="1">
      <c r="A533" s="1">
        <v>532.0</v>
      </c>
      <c r="B533" s="1">
        <v>15.0</v>
      </c>
      <c r="C533" s="4" t="s">
        <v>38</v>
      </c>
      <c r="D533" s="5" t="str">
        <f>IFERROR(__xludf.DUMMYFUNCTION("LET(
  words, TRANSPOSE(SPLIT($C533,""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)"),"MAMAYA , 4 : 0")</f>
        <v>MAMAYA , 4 : 0</v>
      </c>
      <c r="E533" s="3">
        <f>IFERROR(__xludf.DUMMYFUNCTION("INDEX(SPLIT($C533,"" ""), ROW()-ROW($E$489)+1)
"),4.0)</f>
        <v>4</v>
      </c>
      <c r="F533" s="30" t="s">
        <v>25</v>
      </c>
      <c r="G533" s="2"/>
      <c r="H533" s="1" t="s">
        <v>0</v>
      </c>
      <c r="I533" s="2"/>
      <c r="J533" s="2"/>
      <c r="K533" s="1" t="s">
        <v>15</v>
      </c>
    </row>
    <row r="534" ht="15.75" customHeight="1">
      <c r="A534" s="1">
        <v>533.0</v>
      </c>
      <c r="B534" s="1">
        <v>15.0</v>
      </c>
      <c r="C534" s="4" t="s">
        <v>38</v>
      </c>
      <c r="D534" s="5" t="str">
        <f>IFERROR(__xludf.DUMMYFUNCTION("LET(
  words, TRANSPOSE(SPLIT($C534,""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4 : 0 -")</f>
        <v>, 4 : 0 -</v>
      </c>
      <c r="E534" s="3" t="str">
        <f>IFERROR(__xludf.DUMMYFUNCTION("INDEX(SPLIT($C534,"" ""), ROW()-ROW($E$489)+1)
"),":")</f>
        <v>:</v>
      </c>
      <c r="F534" s="30" t="s">
        <v>17</v>
      </c>
      <c r="G534" s="2"/>
      <c r="H534" s="1" t="s">
        <v>0</v>
      </c>
      <c r="I534" s="2"/>
      <c r="J534" s="2"/>
      <c r="K534" s="1" t="s">
        <v>15</v>
      </c>
    </row>
    <row r="535" ht="15.75" customHeight="1">
      <c r="A535" s="1">
        <v>534.0</v>
      </c>
      <c r="B535" s="1">
        <v>15.0</v>
      </c>
      <c r="C535" s="4" t="s">
        <v>38</v>
      </c>
      <c r="D535" s="5" t="str">
        <f>IFERROR(__xludf.DUMMYFUNCTION("LET(
  words, TRANSPOSE(SPLIT($C535,""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)"),"4 : 0 - 4")</f>
        <v>4 : 0 - 4</v>
      </c>
      <c r="E535" s="3">
        <f>IFERROR(__xludf.DUMMYFUNCTION("INDEX(SPLIT($C535,"" ""), ROW()-ROW($E$489)+1)
"),0.0)</f>
        <v>0</v>
      </c>
      <c r="F535" s="30" t="s">
        <v>25</v>
      </c>
      <c r="G535" s="2"/>
      <c r="H535" s="1" t="s">
        <v>0</v>
      </c>
      <c r="I535" s="2"/>
      <c r="J535" s="2"/>
      <c r="K535" s="1" t="s">
        <v>15</v>
      </c>
    </row>
    <row r="536" ht="15.75" customHeight="1">
      <c r="A536" s="1">
        <v>535.0</v>
      </c>
      <c r="B536" s="1">
        <v>15.0</v>
      </c>
      <c r="C536" s="4" t="s">
        <v>38</v>
      </c>
      <c r="D536" s="5" t="str">
        <f>IFERROR(__xludf.DUMMYFUNCTION("LET(
  words, TRANSPOSE(SPLIT($C536,""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)"),": 0 - 4 :")</f>
        <v>: 0 - 4 :</v>
      </c>
      <c r="E536" s="3" t="str">
        <f>IFERROR(__xludf.DUMMYFUNCTION("INDEX(SPLIT($C536,"" ""), ROW()-ROW($E$489)+1)
"),"-")</f>
        <v>-</v>
      </c>
      <c r="F536" s="30" t="s">
        <v>17</v>
      </c>
      <c r="G536" s="2"/>
      <c r="H536" s="1" t="s">
        <v>0</v>
      </c>
      <c r="I536" s="2"/>
      <c r="J536" s="2"/>
      <c r="K536" s="1" t="s">
        <v>15</v>
      </c>
    </row>
    <row r="537" ht="15.75" customHeight="1">
      <c r="A537" s="1">
        <v>536.0</v>
      </c>
      <c r="B537" s="1">
        <v>15.0</v>
      </c>
      <c r="C537" s="4" t="s">
        <v>38</v>
      </c>
      <c r="D537" s="5" t="str">
        <f>IFERROR(__xludf.DUMMYFUNCTION("LET(
  words, TRANSPOSE(SPLIT($C537,""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)"),"0 - 4 : 30")</f>
        <v>0 - 4 : 30</v>
      </c>
      <c r="E537" s="3">
        <f>IFERROR(__xludf.DUMMYFUNCTION("INDEX(SPLIT($C537,"" ""), ROW()-ROW($E$489)+1)
"),4.0)</f>
        <v>4</v>
      </c>
      <c r="F537" s="30" t="s">
        <v>25</v>
      </c>
      <c r="G537" s="2"/>
      <c r="H537" s="1" t="s">
        <v>0</v>
      </c>
      <c r="I537" s="2"/>
      <c r="J537" s="2"/>
      <c r="K537" s="1" t="s">
        <v>15</v>
      </c>
    </row>
    <row r="538" ht="15.75" customHeight="1">
      <c r="A538" s="1">
        <v>537.0</v>
      </c>
      <c r="B538" s="1">
        <v>15.0</v>
      </c>
      <c r="C538" s="4" t="s">
        <v>38</v>
      </c>
      <c r="D538" s="5" t="str">
        <f>IFERROR(__xludf.DUMMYFUNCTION("LET(
  words, TRANSPOSE(SPLIT($C538,""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)"),"- 4 : 30 PM")</f>
        <v>- 4 : 30 PM</v>
      </c>
      <c r="E538" s="3" t="str">
        <f>IFERROR(__xludf.DUMMYFUNCTION("INDEX(SPLIT($C538,"" ""), ROW()-ROW($E$489)+1)
"),":")</f>
        <v>:</v>
      </c>
      <c r="F538" s="30" t="s">
        <v>17</v>
      </c>
      <c r="G538" s="2"/>
      <c r="H538" s="1" t="s">
        <v>0</v>
      </c>
      <c r="I538" s="2"/>
      <c r="J538" s="2"/>
      <c r="K538" s="1" t="s">
        <v>15</v>
      </c>
    </row>
    <row r="539" ht="15.75" customHeight="1">
      <c r="A539" s="1">
        <v>538.0</v>
      </c>
      <c r="B539" s="1">
        <v>15.0</v>
      </c>
      <c r="C539" s="4" t="s">
        <v>38</v>
      </c>
      <c r="D539" s="5" t="str">
        <f>IFERROR(__xludf.DUMMYFUNCTION("LET(
  words, TRANSPOSE(SPLIT($C539,""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)"),"4 : 30 PM .")</f>
        <v>4 : 30 PM .</v>
      </c>
      <c r="E539" s="3">
        <f>IFERROR(__xludf.DUMMYFUNCTION("INDEX(SPLIT($C539,"" ""), ROW()-ROW($E$489)+1)
"),30.0)</f>
        <v>30</v>
      </c>
      <c r="F539" s="30" t="s">
        <v>25</v>
      </c>
      <c r="G539" s="2"/>
      <c r="H539" s="1" t="s">
        <v>0</v>
      </c>
      <c r="I539" s="2"/>
      <c r="J539" s="2"/>
      <c r="K539" s="1" t="s">
        <v>15</v>
      </c>
    </row>
    <row r="540" ht="15.75" customHeight="1">
      <c r="A540" s="1">
        <v>539.0</v>
      </c>
      <c r="B540" s="1">
        <v>15.0</v>
      </c>
      <c r="C540" s="4" t="s">
        <v>38</v>
      </c>
      <c r="D540" s="5" t="str">
        <f>IFERROR(__xludf.DUMMYFUNCTION("LET(
  words, TRANSPOSE(SPLIT($C540,""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)"),": 30 PM . PAKIBASA")</f>
        <v>: 30 PM . PAKIBASA</v>
      </c>
      <c r="E540" s="3" t="str">
        <f>IFERROR(__xludf.DUMMYFUNCTION("INDEX(SPLIT($C540,"" ""), ROW()-ROW($E$489)+1)
"),"PM")</f>
        <v>PM</v>
      </c>
      <c r="F540" s="30" t="s">
        <v>18</v>
      </c>
      <c r="G540" s="1" t="s">
        <v>19</v>
      </c>
      <c r="H540" s="1" t="s">
        <v>0</v>
      </c>
      <c r="I540" s="2"/>
      <c r="J540" s="2"/>
      <c r="K540" s="1" t="s">
        <v>15</v>
      </c>
    </row>
    <row r="541" ht="15.75" customHeight="1">
      <c r="A541" s="1">
        <v>540.0</v>
      </c>
      <c r="B541" s="1">
        <v>15.0</v>
      </c>
      <c r="C541" s="4" t="s">
        <v>38</v>
      </c>
      <c r="D541" s="5" t="str">
        <f>IFERROR(__xludf.DUMMYFUNCTION("LET(
  words, TRANSPOSE(SPLIT($C541,""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)"),"30 PM . PAKIBASA ang")</f>
        <v>30 PM . PAKIBASA ang</v>
      </c>
      <c r="E541" s="3" t="str">
        <f>IFERROR(__xludf.DUMMYFUNCTION("INDEX(SPLIT($C541,"" ""), ROW()-ROW($E$489)+1)
"),".")</f>
        <v>.</v>
      </c>
      <c r="F541" s="30" t="s">
        <v>17</v>
      </c>
      <c r="G541" s="2"/>
      <c r="H541" s="1" t="s">
        <v>0</v>
      </c>
      <c r="I541" s="2"/>
      <c r="J541" s="2"/>
      <c r="K541" s="1" t="s">
        <v>15</v>
      </c>
    </row>
    <row r="542" ht="15.75" customHeight="1">
      <c r="A542" s="1">
        <v>541.0</v>
      </c>
      <c r="B542" s="1">
        <v>15.0</v>
      </c>
      <c r="C542" s="4" t="s">
        <v>38</v>
      </c>
      <c r="D542" s="5" t="str">
        <f>IFERROR(__xludf.DUMMYFUNCTION("LET(
  words, TRANSPOSE(SPLIT($C542,""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)"),"PM . PAKIBASA ang mga")</f>
        <v>PM . PAKIBASA ang mga</v>
      </c>
      <c r="E542" s="3" t="str">
        <f>IFERROR(__xludf.DUMMYFUNCTION("INDEX(SPLIT($C542,"" ""), ROW()-ROW($E$489)+1)
"),"PAKIBASA")</f>
        <v>PAKIBASA</v>
      </c>
      <c r="F542" s="30" t="s">
        <v>16</v>
      </c>
      <c r="G542" s="2"/>
      <c r="H542" s="1" t="s">
        <v>0</v>
      </c>
      <c r="I542" s="2"/>
      <c r="J542" s="2"/>
      <c r="K542" s="1" t="s">
        <v>15</v>
      </c>
    </row>
    <row r="543" ht="15.75" customHeight="1">
      <c r="A543" s="1">
        <v>542.0</v>
      </c>
      <c r="B543" s="1">
        <v>15.0</v>
      </c>
      <c r="C543" s="4" t="s">
        <v>38</v>
      </c>
      <c r="D543" s="5" t="str">
        <f>IFERROR(__xludf.DUMMYFUNCTION("LET(
  words, TRANSPOSE(SPLIT($C543,""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PAKIBASA ang mga ito")</f>
        <v>. PAKIBASA ang mga ito</v>
      </c>
      <c r="E543" s="3" t="str">
        <f>IFERROR(__xludf.DUMMYFUNCTION("INDEX(SPLIT($C543,"" ""), ROW()-ROW($E$489)+1)
"),"ang")</f>
        <v>ang</v>
      </c>
      <c r="F543" s="30" t="s">
        <v>16</v>
      </c>
      <c r="G543" s="2"/>
      <c r="H543" s="1" t="s">
        <v>0</v>
      </c>
      <c r="I543" s="2"/>
      <c r="J543" s="2"/>
      <c r="K543" s="1" t="s">
        <v>15</v>
      </c>
    </row>
    <row r="544" ht="15.75" customHeight="1">
      <c r="A544" s="1">
        <v>543.0</v>
      </c>
      <c r="B544" s="1">
        <v>15.0</v>
      </c>
      <c r="C544" s="4" t="s">
        <v>38</v>
      </c>
      <c r="D544" s="5" t="str">
        <f>IFERROR(__xludf.DUMMYFUNCTION("LET(
  words, TRANSPOSE(SPLIT($C544,""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)"),"PAKIBASA ang mga ito .")</f>
        <v>PAKIBASA ang mga ito .</v>
      </c>
      <c r="E544" s="3" t="str">
        <f>IFERROR(__xludf.DUMMYFUNCTION("INDEX(SPLIT($C544,"" ""), ROW()-ROW($E$489)+1)
"),"mga")</f>
        <v>mga</v>
      </c>
      <c r="F544" s="30" t="s">
        <v>16</v>
      </c>
      <c r="G544" s="2"/>
      <c r="H544" s="1" t="s">
        <v>0</v>
      </c>
      <c r="I544" s="2"/>
      <c r="J544" s="2"/>
      <c r="K544" s="1" t="s">
        <v>15</v>
      </c>
    </row>
    <row r="545" ht="15.75" customHeight="1">
      <c r="A545" s="1">
        <v>544.0</v>
      </c>
      <c r="B545" s="1">
        <v>15.0</v>
      </c>
      <c r="C545" s="4" t="s">
        <v>38</v>
      </c>
      <c r="D545" s="5" t="str">
        <f>IFERROR(__xludf.DUMMYFUNCTION("LET(
  words, TRANSPOSE(SPLIT($C545,""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mga ito . Kung")</f>
        <v>ang mga ito . Kung</v>
      </c>
      <c r="E545" s="3" t="str">
        <f>IFERROR(__xludf.DUMMYFUNCTION("INDEX(SPLIT($C545,"" ""), ROW()-ROW($E$489)+1)
"),"ito")</f>
        <v>ito</v>
      </c>
      <c r="F545" s="30" t="s">
        <v>16</v>
      </c>
      <c r="G545" s="2"/>
      <c r="H545" s="1" t="s">
        <v>0</v>
      </c>
      <c r="I545" s="2"/>
      <c r="J545" s="2"/>
      <c r="K545" s="1" t="s">
        <v>15</v>
      </c>
    </row>
    <row r="546" ht="15.75" customHeight="1">
      <c r="A546" s="1">
        <v>545.0</v>
      </c>
      <c r="B546" s="1">
        <v>15.0</v>
      </c>
      <c r="C546" s="4" t="s">
        <v>38</v>
      </c>
      <c r="D546" s="5" t="str">
        <f>IFERROR(__xludf.DUMMYFUNCTION("LET(
  words, TRANSPOSE(SPLIT($C546,""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)"),"mga ito . Kung may")</f>
        <v>mga ito . Kung may</v>
      </c>
      <c r="E546" s="3" t="str">
        <f>IFERROR(__xludf.DUMMYFUNCTION("INDEX(SPLIT($C546,"" ""), ROW()-ROW($E$489)+1)
"),".")</f>
        <v>.</v>
      </c>
      <c r="F546" s="30" t="s">
        <v>17</v>
      </c>
      <c r="G546" s="2"/>
      <c r="H546" s="1" t="s">
        <v>0</v>
      </c>
      <c r="I546" s="2"/>
      <c r="J546" s="2"/>
      <c r="K546" s="1" t="s">
        <v>15</v>
      </c>
    </row>
    <row r="547" ht="15.75" customHeight="1">
      <c r="A547" s="1">
        <v>546.0</v>
      </c>
      <c r="B547" s="1">
        <v>15.0</v>
      </c>
      <c r="C547" s="4" t="s">
        <v>38</v>
      </c>
      <c r="D547" s="5" t="str">
        <f>IFERROR(__xludf.DUMMYFUNCTION("LET(
  words, TRANSPOSE(SPLIT($C547,""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)"),"ito . Kung may concern")</f>
        <v>ito . Kung may concern</v>
      </c>
      <c r="E547" s="3" t="str">
        <f>IFERROR(__xludf.DUMMYFUNCTION("INDEX(SPLIT($C547,"" ""), ROW()-ROW($E$489)+1)
"),"Kung")</f>
        <v>Kung</v>
      </c>
      <c r="F547" s="30" t="s">
        <v>16</v>
      </c>
      <c r="G547" s="2"/>
      <c r="H547" s="1" t="s">
        <v>0</v>
      </c>
      <c r="I547" s="2"/>
      <c r="J547" s="2"/>
      <c r="K547" s="1" t="s">
        <v>15</v>
      </c>
    </row>
    <row r="548" ht="15.75" customHeight="1">
      <c r="A548" s="1">
        <v>547.0</v>
      </c>
      <c r="B548" s="1">
        <v>15.0</v>
      </c>
      <c r="C548" s="4" t="s">
        <v>38</v>
      </c>
      <c r="D548" s="5" t="str">
        <f>IFERROR(__xludf.DUMMYFUNCTION("LET(
  words, TRANSPOSE(SPLIT($C548,""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Kung may concern kayo")</f>
        <v>. Kung may concern kayo</v>
      </c>
      <c r="E548" s="3" t="str">
        <f>IFERROR(__xludf.DUMMYFUNCTION("INDEX(SPLIT($C548,"" ""), ROW()-ROW($E$489)+1)
"),"may")</f>
        <v>may</v>
      </c>
      <c r="F548" s="30" t="s">
        <v>16</v>
      </c>
      <c r="G548" s="2"/>
      <c r="H548" s="1" t="s">
        <v>0</v>
      </c>
      <c r="I548" s="2"/>
      <c r="J548" s="2"/>
      <c r="K548" s="1" t="s">
        <v>15</v>
      </c>
    </row>
    <row r="549" ht="15.75" customHeight="1">
      <c r="A549" s="1">
        <v>548.0</v>
      </c>
      <c r="B549" s="1">
        <v>15.0</v>
      </c>
      <c r="C549" s="4" t="s">
        <v>38</v>
      </c>
      <c r="D549" s="5" t="str">
        <f>IFERROR(__xludf.DUMMYFUNCTION("LET(
  words, TRANSPOSE(SPLIT($C549,""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)"),"Kung may concern kayo sa")</f>
        <v>Kung may concern kayo sa</v>
      </c>
      <c r="E549" s="3" t="str">
        <f>IFERROR(__xludf.DUMMYFUNCTION("INDEX(SPLIT($C549,"" ""), ROW()-ROW($E$489)+1)
"),"concern")</f>
        <v>concern</v>
      </c>
      <c r="F549" s="30" t="s">
        <v>18</v>
      </c>
      <c r="G549" s="2"/>
      <c r="H549" s="1" t="s">
        <v>0</v>
      </c>
      <c r="I549" s="2"/>
      <c r="J549" s="2"/>
      <c r="K549" s="1" t="s">
        <v>15</v>
      </c>
    </row>
    <row r="550" ht="15.75" customHeight="1">
      <c r="A550" s="1">
        <v>549.0</v>
      </c>
      <c r="B550" s="1">
        <v>15.0</v>
      </c>
      <c r="C550" s="4" t="s">
        <v>38</v>
      </c>
      <c r="D550" s="5" t="str">
        <f>IFERROR(__xludf.DUMMYFUNCTION("LET(
  words, TRANSPOSE(SPLIT($C550,""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)"),"may concern kayo sa grade")</f>
        <v>may concern kayo sa grade</v>
      </c>
      <c r="E550" s="3" t="str">
        <f>IFERROR(__xludf.DUMMYFUNCTION("INDEX(SPLIT($C550,"" ""), ROW()-ROW($E$489)+1)
"),"kayo")</f>
        <v>kayo</v>
      </c>
      <c r="F550" s="30" t="s">
        <v>16</v>
      </c>
      <c r="G550" s="2"/>
      <c r="H550" s="1" t="s">
        <v>0</v>
      </c>
      <c r="I550" s="2"/>
      <c r="J550" s="2"/>
      <c r="K550" s="1" t="s">
        <v>15</v>
      </c>
    </row>
    <row r="551" ht="15.75" customHeight="1">
      <c r="A551" s="1">
        <v>550.0</v>
      </c>
      <c r="B551" s="1">
        <v>15.0</v>
      </c>
      <c r="C551" s="4" t="s">
        <v>38</v>
      </c>
      <c r="D551" s="5" t="str">
        <f>IFERROR(__xludf.DUMMYFUNCTION("LET(
  words, TRANSPOSE(SPLIT($C551,""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)"),"concern kayo sa grade ninyo")</f>
        <v>concern kayo sa grade ninyo</v>
      </c>
      <c r="E551" s="3" t="str">
        <f>IFERROR(__xludf.DUMMYFUNCTION("INDEX(SPLIT($C551,"" ""), ROW()-ROW($E$489)+1)
"),"sa")</f>
        <v>sa</v>
      </c>
      <c r="F551" s="30" t="s">
        <v>16</v>
      </c>
      <c r="G551" s="2"/>
      <c r="H551" s="1" t="s">
        <v>0</v>
      </c>
      <c r="I551" s="2"/>
      <c r="J551" s="2"/>
      <c r="K551" s="1" t="s">
        <v>15</v>
      </c>
    </row>
    <row r="552" ht="15.75" customHeight="1">
      <c r="A552" s="1">
        <v>551.0</v>
      </c>
      <c r="B552" s="1">
        <v>15.0</v>
      </c>
      <c r="C552" s="4" t="s">
        <v>38</v>
      </c>
      <c r="D552" s="5" t="str">
        <f>IFERROR(__xludf.DUMMYFUNCTION("LET(
  words, TRANSPOSE(SPLIT($C552,""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)"),"kayo sa grade ninyo o")</f>
        <v>kayo sa grade ninyo o</v>
      </c>
      <c r="E552" s="3" t="str">
        <f>IFERROR(__xludf.DUMMYFUNCTION("INDEX(SPLIT($C552,"" ""), ROW()-ROW($E$489)+1)
"),"grade")</f>
        <v>grade</v>
      </c>
      <c r="F552" s="30" t="s">
        <v>18</v>
      </c>
      <c r="G552" s="2"/>
      <c r="H552" s="1" t="s">
        <v>0</v>
      </c>
      <c r="I552" s="2"/>
      <c r="J552" s="2"/>
      <c r="K552" s="1" t="s">
        <v>15</v>
      </c>
    </row>
    <row r="553" ht="15.75" customHeight="1">
      <c r="A553" s="1">
        <v>552.0</v>
      </c>
      <c r="B553" s="1">
        <v>15.0</v>
      </c>
      <c r="C553" s="4" t="s">
        <v>38</v>
      </c>
      <c r="D553" s="5" t="str">
        <f>IFERROR(__xludf.DUMMYFUNCTION("LET(
  words, TRANSPOSE(SPLIT($C553,""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grade ninyo o hindi")</f>
        <v>sa grade ninyo o hindi</v>
      </c>
      <c r="E553" s="3" t="str">
        <f>IFERROR(__xludf.DUMMYFUNCTION("INDEX(SPLIT($C553,"" ""), ROW()-ROW($E$489)+1)
"),"ninyo")</f>
        <v>ninyo</v>
      </c>
      <c r="F553" s="30" t="s">
        <v>16</v>
      </c>
      <c r="G553" s="2"/>
      <c r="H553" s="1" t="s">
        <v>0</v>
      </c>
      <c r="I553" s="2"/>
      <c r="J553" s="2"/>
      <c r="K553" s="1" t="s">
        <v>15</v>
      </c>
    </row>
    <row r="554" ht="15.75" customHeight="1">
      <c r="A554" s="1">
        <v>553.0</v>
      </c>
      <c r="B554" s="1">
        <v>15.0</v>
      </c>
      <c r="C554" s="4" t="s">
        <v>38</v>
      </c>
      <c r="D554" s="5" t="str">
        <f>IFERROR(__xludf.DUMMYFUNCTION("LET(
  words, TRANSPOSE(SPLIT($C554,""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)"),"grade ninyo o hindi naipasang")</f>
        <v>grade ninyo o hindi naipasang</v>
      </c>
      <c r="E554" s="3" t="str">
        <f>IFERROR(__xludf.DUMMYFUNCTION("INDEX(SPLIT($C554,"" ""), ROW()-ROW($E$489)+1)
"),"o")</f>
        <v>o</v>
      </c>
      <c r="F554" s="30" t="s">
        <v>16</v>
      </c>
      <c r="G554" s="2"/>
      <c r="H554" s="1" t="s">
        <v>0</v>
      </c>
      <c r="I554" s="2"/>
      <c r="J554" s="2"/>
      <c r="K554" s="1" t="s">
        <v>15</v>
      </c>
    </row>
    <row r="555" ht="15.75" customHeight="1">
      <c r="A555" s="1">
        <v>554.0</v>
      </c>
      <c r="B555" s="1">
        <v>15.0</v>
      </c>
      <c r="C555" s="4" t="s">
        <v>38</v>
      </c>
      <c r="D555" s="5" t="str">
        <f>IFERROR(__xludf.DUMMYFUNCTION("LET(
  words, TRANSPOSE(SPLIT($C555,""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)"),"ninyo o hindi naipasang requirement")</f>
        <v>ninyo o hindi naipasang requirement</v>
      </c>
      <c r="E555" s="3" t="str">
        <f>IFERROR(__xludf.DUMMYFUNCTION("INDEX(SPLIT($C555,"" ""), ROW()-ROW($E$489)+1)
"),"hindi")</f>
        <v>hindi</v>
      </c>
      <c r="F555" s="30" t="s">
        <v>16</v>
      </c>
      <c r="G555" s="2"/>
      <c r="H555" s="1" t="s">
        <v>0</v>
      </c>
      <c r="I555" s="2"/>
      <c r="J555" s="2"/>
      <c r="K555" s="1" t="s">
        <v>15</v>
      </c>
    </row>
    <row r="556" ht="15.75" customHeight="1">
      <c r="A556" s="1">
        <v>555.0</v>
      </c>
      <c r="B556" s="1">
        <v>15.0</v>
      </c>
      <c r="C556" s="4" t="s">
        <v>38</v>
      </c>
      <c r="D556" s="5" t="str">
        <f>IFERROR(__xludf.DUMMYFUNCTION("LET(
  words, TRANSPOSE(SPLIT($C556,""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)"),"o hindi naipasang requirement ,")</f>
        <v>o hindi naipasang requirement ,</v>
      </c>
      <c r="E556" s="3" t="str">
        <f>IFERROR(__xludf.DUMMYFUNCTION("INDEX(SPLIT($C556,"" ""), ROW()-ROW($E$489)+1)
"),"naipasang")</f>
        <v>naipasang</v>
      </c>
      <c r="F556" s="30" t="s">
        <v>16</v>
      </c>
      <c r="G556" s="2"/>
      <c r="H556" s="1" t="s">
        <v>0</v>
      </c>
      <c r="I556" s="2"/>
      <c r="J556" s="2"/>
      <c r="K556" s="1" t="s">
        <v>15</v>
      </c>
    </row>
    <row r="557" ht="15.75" customHeight="1">
      <c r="A557" s="1">
        <v>556.0</v>
      </c>
      <c r="B557" s="1">
        <v>15.0</v>
      </c>
      <c r="C557" s="4" t="s">
        <v>38</v>
      </c>
      <c r="D557" s="5" t="str">
        <f>IFERROR(__xludf.DUMMYFUNCTION("LET(
  words, TRANSPOSE(SPLIT($C557,""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)"),"hindi naipasang requirement , pumunta")</f>
        <v>hindi naipasang requirement , pumunta</v>
      </c>
      <c r="E557" s="3" t="str">
        <f>IFERROR(__xludf.DUMMYFUNCTION("INDEX(SPLIT($C557,"" ""), ROW()-ROW($E$489)+1)
"),"requirement")</f>
        <v>requirement</v>
      </c>
      <c r="F557" s="30" t="s">
        <v>18</v>
      </c>
      <c r="G557" s="2"/>
      <c r="H557" s="1" t="s">
        <v>0</v>
      </c>
      <c r="I557" s="2"/>
      <c r="J557" s="2"/>
      <c r="K557" s="1" t="s">
        <v>15</v>
      </c>
    </row>
    <row r="558" ht="15.75" customHeight="1">
      <c r="A558" s="1">
        <v>557.0</v>
      </c>
      <c r="B558" s="1">
        <v>15.0</v>
      </c>
      <c r="C558" s="4" t="s">
        <v>38</v>
      </c>
      <c r="D558" s="5" t="str">
        <f>IFERROR(__xludf.DUMMYFUNCTION("LET(
  words, TRANSPOSE(SPLIT($C558,""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)"),"naipasang requirement , pumunta kayo")</f>
        <v>naipasang requirement , pumunta kayo</v>
      </c>
      <c r="E558" s="3" t="str">
        <f>IFERROR(__xludf.DUMMYFUNCTION("INDEX(SPLIT($C558,"" ""), ROW()-ROW($E$489)+1)
"),",")</f>
        <v>,</v>
      </c>
      <c r="F558" s="30" t="s">
        <v>17</v>
      </c>
      <c r="G558" s="2"/>
      <c r="H558" s="1" t="s">
        <v>0</v>
      </c>
      <c r="I558" s="2"/>
      <c r="J558" s="2"/>
      <c r="K558" s="1" t="s">
        <v>15</v>
      </c>
    </row>
    <row r="559" ht="15.75" customHeight="1">
      <c r="A559" s="1">
        <v>558.0</v>
      </c>
      <c r="B559" s="1">
        <v>15.0</v>
      </c>
      <c r="C559" s="4" t="s">
        <v>38</v>
      </c>
      <c r="D559" s="5" t="str">
        <f>IFERROR(__xludf.DUMMYFUNCTION("LET(
  words, TRANSPOSE(SPLIT($C559,""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)"),"requirement , pumunta kayo sa")</f>
        <v>requirement , pumunta kayo sa</v>
      </c>
      <c r="E559" s="3" t="str">
        <f>IFERROR(__xludf.DUMMYFUNCTION("INDEX(SPLIT($C559,"" ""), ROW()-ROW($E$489)+1)
"),"pumunta")</f>
        <v>pumunta</v>
      </c>
      <c r="F559" s="30" t="s">
        <v>16</v>
      </c>
      <c r="G559" s="2"/>
      <c r="H559" s="1" t="s">
        <v>0</v>
      </c>
      <c r="I559" s="2"/>
      <c r="J559" s="2"/>
      <c r="K559" s="1" t="s">
        <v>15</v>
      </c>
    </row>
    <row r="560" ht="15.75" customHeight="1">
      <c r="A560" s="1">
        <v>559.0</v>
      </c>
      <c r="B560" s="1">
        <v>15.0</v>
      </c>
      <c r="C560" s="4" t="s">
        <v>38</v>
      </c>
      <c r="D560" s="5" t="str">
        <f>IFERROR(__xludf.DUMMYFUNCTION("LET(
  words, TRANSPOSE(SPLIT($C560,""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pumunta kayo sa GCD")</f>
        <v>, pumunta kayo sa GCD</v>
      </c>
      <c r="E560" s="3" t="str">
        <f>IFERROR(__xludf.DUMMYFUNCTION("INDEX(SPLIT($C560,"" ""), ROW()-ROW($E$489)+1)
"),"kayo")</f>
        <v>kayo</v>
      </c>
      <c r="F560" s="30" t="s">
        <v>16</v>
      </c>
      <c r="G560" s="2"/>
      <c r="H560" s="1" t="s">
        <v>0</v>
      </c>
      <c r="I560" s="2"/>
      <c r="J560" s="2"/>
      <c r="K560" s="1" t="s">
        <v>15</v>
      </c>
    </row>
    <row r="561" ht="15.75" customHeight="1">
      <c r="A561" s="1">
        <v>560.0</v>
      </c>
      <c r="B561" s="1">
        <v>15.0</v>
      </c>
      <c r="C561" s="4" t="s">
        <v>38</v>
      </c>
      <c r="D561" s="5" t="str">
        <f>IFERROR(__xludf.DUMMYFUNCTION("LET(
  words, TRANSPOSE(SPLIT($C561,""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)"),"pumunta kayo sa GCD .")</f>
        <v>pumunta kayo sa GCD .</v>
      </c>
      <c r="E561" s="3" t="str">
        <f>IFERROR(__xludf.DUMMYFUNCTION("INDEX(SPLIT($C561,"" ""), ROW()-ROW($E$489)+1)
"),"sa")</f>
        <v>sa</v>
      </c>
      <c r="F561" s="30" t="s">
        <v>16</v>
      </c>
      <c r="G561" s="2"/>
      <c r="H561" s="1" t="s">
        <v>0</v>
      </c>
      <c r="I561" s="2"/>
      <c r="J561" s="2"/>
      <c r="K561" s="1" t="s">
        <v>15</v>
      </c>
    </row>
    <row r="562" ht="15.75" customHeight="1">
      <c r="A562" s="1">
        <v>561.0</v>
      </c>
      <c r="B562" s="1">
        <v>15.0</v>
      </c>
      <c r="C562" s="4" t="s">
        <v>38</v>
      </c>
      <c r="D562" s="5" t="str">
        <f>IFERROR(__xludf.DUMMYFUNCTION("LET(
  words, TRANSPOSE(SPLIT($C562,""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)"),"kayo sa GCD .")</f>
        <v>kayo sa GCD .</v>
      </c>
      <c r="E562" s="3" t="str">
        <f>IFERROR(__xludf.DUMMYFUNCTION("INDEX(SPLIT($C562,"" ""), ROW()-ROW($E$489)+1)
"),"GCD")</f>
        <v>GCD</v>
      </c>
      <c r="F562" s="30" t="s">
        <v>18</v>
      </c>
      <c r="G562" s="1" t="s">
        <v>31</v>
      </c>
      <c r="H562" s="1" t="s">
        <v>0</v>
      </c>
      <c r="I562" s="2"/>
      <c r="J562" s="2"/>
      <c r="K562" s="1" t="s">
        <v>15</v>
      </c>
    </row>
    <row r="563" ht="15.75" customHeight="1">
      <c r="A563" s="10">
        <v>562.0</v>
      </c>
      <c r="B563" s="10">
        <v>15.0</v>
      </c>
      <c r="C563" s="7" t="s">
        <v>38</v>
      </c>
      <c r="D563" s="8" t="str">
        <f>IFERROR(__xludf.DUMMYFUNCTION("LET(
  words, TRANSPOSE(SPLIT($C563,"" "")),
  n, ROWS(words),
  i, ROW() - ROW($D$489)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GCD .")</f>
        <v>sa GCD .</v>
      </c>
      <c r="E563" s="9" t="str">
        <f>IFERROR(__xludf.DUMMYFUNCTION("INDEX(SPLIT($C563,"" ""), ROW()-ROW($E$489)+1)
"),".")</f>
        <v>.</v>
      </c>
      <c r="F563" s="32" t="s">
        <v>17</v>
      </c>
      <c r="G563" s="6"/>
      <c r="H563" s="10" t="s">
        <v>0</v>
      </c>
      <c r="I563" s="6"/>
      <c r="J563" s="6"/>
      <c r="K563" s="10" t="s">
        <v>15</v>
      </c>
      <c r="L563" s="6"/>
    </row>
    <row r="564" ht="15.75" customHeight="1">
      <c r="A564" s="1">
        <v>563.0</v>
      </c>
      <c r="B564" s="1">
        <v>16.0</v>
      </c>
      <c r="C564" s="4" t="s">
        <v>39</v>
      </c>
      <c r="D564" s="5" t="str">
        <f>IFERROR(__xludf.DUMMYFUNCTION("LET(
  words, TRANSPOSE(SPLIT($C564,""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)"),"Kaya nagdesisyon kami")</f>
        <v>Kaya nagdesisyon kami</v>
      </c>
      <c r="E564" s="3" t="str">
        <f>IFERROR(__xludf.DUMMYFUNCTION("INDEX(SPLIT($C564,"" ""), ROW()-ROW($E$564)+1)
"),"Kaya")</f>
        <v>Kaya</v>
      </c>
      <c r="F564" s="30" t="s">
        <v>16</v>
      </c>
      <c r="G564" s="2"/>
      <c r="H564" s="1" t="s">
        <v>0</v>
      </c>
      <c r="I564" s="2"/>
      <c r="J564" s="2"/>
      <c r="K564" s="1" t="s">
        <v>15</v>
      </c>
    </row>
    <row r="565" ht="15.75" customHeight="1">
      <c r="A565" s="1">
        <v>564.0</v>
      </c>
      <c r="B565" s="1">
        <v>16.0</v>
      </c>
      <c r="C565" s="4" t="s">
        <v>39</v>
      </c>
      <c r="D565" s="5" t="str">
        <f>IFERROR(__xludf.DUMMYFUNCTION("LET(
  words, TRANSPOSE(SPLIT($C565,""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)"),"Kaya nagdesisyon kami dahil")</f>
        <v>Kaya nagdesisyon kami dahil</v>
      </c>
      <c r="E565" s="3" t="str">
        <f>IFERROR(__xludf.DUMMYFUNCTION("INDEX(SPLIT($C565,"" ""), ROW()-ROW($E$564)+1)
"),"nagdesisyon")</f>
        <v>nagdesisyon</v>
      </c>
      <c r="F565" s="30" t="s">
        <v>16</v>
      </c>
      <c r="G565" s="2"/>
      <c r="H565" s="1" t="s">
        <v>0</v>
      </c>
      <c r="I565" s="2"/>
      <c r="J565" s="2"/>
      <c r="K565" s="1" t="s">
        <v>15</v>
      </c>
    </row>
    <row r="566" ht="15.75" customHeight="1">
      <c r="A566" s="1">
        <v>565.0</v>
      </c>
      <c r="B566" s="1">
        <v>16.0</v>
      </c>
      <c r="C566" s="4" t="s">
        <v>39</v>
      </c>
      <c r="D566" s="5" t="str">
        <f>IFERROR(__xludf.DUMMYFUNCTION("LET(
  words, TRANSPOSE(SPLIT($C566,""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)"),"Kaya nagdesisyon kami dahil holiday")</f>
        <v>Kaya nagdesisyon kami dahil holiday</v>
      </c>
      <c r="E566" s="3" t="str">
        <f>IFERROR(__xludf.DUMMYFUNCTION("INDEX(SPLIT($C566,"" ""), ROW()-ROW($E$564)+1)
"),"kami")</f>
        <v>kami</v>
      </c>
      <c r="F566" s="30" t="s">
        <v>16</v>
      </c>
      <c r="G566" s="2"/>
      <c r="H566" s="1" t="s">
        <v>0</v>
      </c>
      <c r="I566" s="2"/>
      <c r="J566" s="2"/>
      <c r="K566" s="1" t="s">
        <v>15</v>
      </c>
    </row>
    <row r="567" ht="15.75" customHeight="1">
      <c r="A567" s="1">
        <v>566.0</v>
      </c>
      <c r="B567" s="1">
        <v>16.0</v>
      </c>
      <c r="C567" s="4" t="s">
        <v>39</v>
      </c>
      <c r="D567" s="5" t="str">
        <f>IFERROR(__xludf.DUMMYFUNCTION("LET(
  words, TRANSPOSE(SPLIT($C567,""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)"),"nagdesisyon kami dahil holiday na")</f>
        <v>nagdesisyon kami dahil holiday na</v>
      </c>
      <c r="E567" s="3" t="str">
        <f>IFERROR(__xludf.DUMMYFUNCTION("INDEX(SPLIT($C567,"" ""), ROW()-ROW($E$564)+1)
"),"dahil")</f>
        <v>dahil</v>
      </c>
      <c r="F567" s="30" t="s">
        <v>16</v>
      </c>
      <c r="G567" s="2"/>
      <c r="H567" s="1" t="s">
        <v>0</v>
      </c>
      <c r="I567" s="2"/>
      <c r="J567" s="2"/>
      <c r="K567" s="1" t="s">
        <v>15</v>
      </c>
    </row>
    <row r="568" ht="15.75" customHeight="1">
      <c r="A568" s="1">
        <v>567.0</v>
      </c>
      <c r="B568" s="1">
        <v>16.0</v>
      </c>
      <c r="C568" s="4" t="s">
        <v>39</v>
      </c>
      <c r="D568" s="5" t="str">
        <f>IFERROR(__xludf.DUMMYFUNCTION("LET(
  words, TRANSPOSE(SPLIT($C568,""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)"),"kami dahil holiday na rin")</f>
        <v>kami dahil holiday na rin</v>
      </c>
      <c r="E568" s="3" t="str">
        <f>IFERROR(__xludf.DUMMYFUNCTION("INDEX(SPLIT($C568,"" ""), ROW()-ROW($E$564)+1)
"),"holiday")</f>
        <v>holiday</v>
      </c>
      <c r="F568" s="30" t="s">
        <v>18</v>
      </c>
      <c r="G568" s="2"/>
      <c r="H568" s="1" t="s">
        <v>0</v>
      </c>
      <c r="I568" s="2"/>
      <c r="J568" s="2"/>
      <c r="K568" s="1" t="s">
        <v>15</v>
      </c>
    </row>
    <row r="569" ht="15.75" customHeight="1">
      <c r="A569" s="1">
        <v>568.0</v>
      </c>
      <c r="B569" s="1">
        <v>16.0</v>
      </c>
      <c r="C569" s="4" t="s">
        <v>39</v>
      </c>
      <c r="D569" s="5" t="str">
        <f>IFERROR(__xludf.DUMMYFUNCTION("LET(
  words, TRANSPOSE(SPLIT($C569,""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)"),"dahil holiday na rin naman")</f>
        <v>dahil holiday na rin naman</v>
      </c>
      <c r="E569" s="3" t="str">
        <f>IFERROR(__xludf.DUMMYFUNCTION("INDEX(SPLIT($C569,"" ""), ROW()-ROW($E$564)+1)
"),"na")</f>
        <v>na</v>
      </c>
      <c r="F569" s="30" t="s">
        <v>16</v>
      </c>
      <c r="G569" s="2"/>
      <c r="H569" s="1" t="s">
        <v>0</v>
      </c>
      <c r="I569" s="2"/>
      <c r="J569" s="2"/>
      <c r="K569" s="1" t="s">
        <v>15</v>
      </c>
    </row>
    <row r="570" ht="15.75" customHeight="1">
      <c r="A570" s="1">
        <v>569.0</v>
      </c>
      <c r="B570" s="1">
        <v>16.0</v>
      </c>
      <c r="C570" s="4" t="s">
        <v>39</v>
      </c>
      <c r="D570" s="5" t="str">
        <f>IFERROR(__xludf.DUMMYFUNCTION("LET(
  words, TRANSPOSE(SPLIT($C570,""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)"),"holiday na rin naman ,")</f>
        <v>holiday na rin naman ,</v>
      </c>
      <c r="E570" s="3" t="str">
        <f>IFERROR(__xludf.DUMMYFUNCTION("INDEX(SPLIT($C570,"" ""), ROW()-ROW($E$564)+1)
"),"rin")</f>
        <v>rin</v>
      </c>
      <c r="F570" s="30" t="s">
        <v>16</v>
      </c>
      <c r="G570" s="2"/>
      <c r="H570" s="1" t="s">
        <v>0</v>
      </c>
      <c r="I570" s="2"/>
      <c r="J570" s="2"/>
      <c r="K570" s="1" t="s">
        <v>15</v>
      </c>
    </row>
    <row r="571" ht="15.75" customHeight="1">
      <c r="A571" s="1">
        <v>570.0</v>
      </c>
      <c r="B571" s="1">
        <v>16.0</v>
      </c>
      <c r="C571" s="4" t="s">
        <v>39</v>
      </c>
      <c r="D571" s="5" t="str">
        <f>IFERROR(__xludf.DUMMYFUNCTION("LET(
  words, TRANSPOSE(SPLIT($C571,""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rin naman , towards")</f>
        <v>na rin naman , towards</v>
      </c>
      <c r="E571" s="3" t="str">
        <f>IFERROR(__xludf.DUMMYFUNCTION("INDEX(SPLIT($C571,"" ""), ROW()-ROW($E$564)+1)
"),"naman")</f>
        <v>naman</v>
      </c>
      <c r="F571" s="30" t="s">
        <v>16</v>
      </c>
      <c r="G571" s="2"/>
      <c r="H571" s="1" t="s">
        <v>0</v>
      </c>
      <c r="I571" s="2"/>
      <c r="J571" s="2"/>
      <c r="K571" s="1" t="s">
        <v>15</v>
      </c>
    </row>
    <row r="572" ht="15.75" customHeight="1">
      <c r="A572" s="1">
        <v>571.0</v>
      </c>
      <c r="B572" s="1">
        <v>16.0</v>
      </c>
      <c r="C572" s="4" t="s">
        <v>39</v>
      </c>
      <c r="D572" s="5" t="str">
        <f>IFERROR(__xludf.DUMMYFUNCTION("LET(
  words, TRANSPOSE(SPLIT($C572,""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)"),"rin naman , towards the")</f>
        <v>rin naman , towards the</v>
      </c>
      <c r="E572" s="3" t="str">
        <f>IFERROR(__xludf.DUMMYFUNCTION("INDEX(SPLIT($C572,"" ""), ROW()-ROW($E$564)+1)
"),",")</f>
        <v>,</v>
      </c>
      <c r="F572" s="30" t="s">
        <v>17</v>
      </c>
      <c r="G572" s="2"/>
      <c r="H572" s="1" t="s">
        <v>0</v>
      </c>
      <c r="I572" s="2"/>
      <c r="J572" s="2"/>
      <c r="K572" s="1" t="s">
        <v>15</v>
      </c>
    </row>
    <row r="573" ht="15.75" customHeight="1">
      <c r="A573" s="1">
        <v>572.0</v>
      </c>
      <c r="B573" s="1">
        <v>16.0</v>
      </c>
      <c r="C573" s="4" t="s">
        <v>39</v>
      </c>
      <c r="D573" s="5" t="str">
        <f>IFERROR(__xludf.DUMMYFUNCTION("LET(
  words, TRANSPOSE(SPLIT($C573,""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)"),"naman , towards the end")</f>
        <v>naman , towards the end</v>
      </c>
      <c r="E573" s="3" t="str">
        <f>IFERROR(__xludf.DUMMYFUNCTION("INDEX(SPLIT($C573,"" ""), ROW()-ROW($E$564)+1)
"),"towards")</f>
        <v>towards</v>
      </c>
      <c r="F573" s="30" t="s">
        <v>18</v>
      </c>
      <c r="G573" s="2"/>
      <c r="H573" s="1" t="s">
        <v>0</v>
      </c>
      <c r="I573" s="2"/>
      <c r="J573" s="2"/>
      <c r="K573" s="1" t="s">
        <v>15</v>
      </c>
    </row>
    <row r="574" ht="15.75" customHeight="1">
      <c r="A574" s="1">
        <v>573.0</v>
      </c>
      <c r="B574" s="1">
        <v>16.0</v>
      </c>
      <c r="C574" s="4" t="s">
        <v>39</v>
      </c>
      <c r="D574" s="5" t="str">
        <f>IFERROR(__xludf.DUMMYFUNCTION("LET(
  words, TRANSPOSE(SPLIT($C574,""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towards the end of")</f>
        <v>, towards the end of</v>
      </c>
      <c r="E574" s="3" t="str">
        <f>IFERROR(__xludf.DUMMYFUNCTION("INDEX(SPLIT($C574,"" ""), ROW()-ROW($E$564)+1)
"),"the")</f>
        <v>the</v>
      </c>
      <c r="F574" s="30" t="s">
        <v>18</v>
      </c>
      <c r="G574" s="2"/>
      <c r="H574" s="1" t="s">
        <v>0</v>
      </c>
      <c r="I574" s="2"/>
      <c r="J574" s="2"/>
      <c r="K574" s="1" t="s">
        <v>15</v>
      </c>
    </row>
    <row r="575" ht="15.75" customHeight="1">
      <c r="A575" s="1">
        <v>574.0</v>
      </c>
      <c r="B575" s="1">
        <v>16.0</v>
      </c>
      <c r="C575" s="4" t="s">
        <v>39</v>
      </c>
      <c r="D575" s="5" t="str">
        <f>IFERROR(__xludf.DUMMYFUNCTION("LET(
  words, TRANSPOSE(SPLIT($C575,""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)"),"towards the end of October")</f>
        <v>towards the end of October</v>
      </c>
      <c r="E575" s="3" t="str">
        <f>IFERROR(__xludf.DUMMYFUNCTION("INDEX(SPLIT($C575,"" ""), ROW()-ROW($E$564)+1)
"),"end")</f>
        <v>end</v>
      </c>
      <c r="F575" s="30" t="s">
        <v>18</v>
      </c>
      <c r="G575" s="2"/>
      <c r="H575" s="1" t="s">
        <v>0</v>
      </c>
      <c r="I575" s="2"/>
      <c r="J575" s="2"/>
      <c r="K575" s="1" t="s">
        <v>15</v>
      </c>
    </row>
    <row r="576" ht="15.75" customHeight="1">
      <c r="A576" s="1">
        <v>575.0</v>
      </c>
      <c r="B576" s="1">
        <v>16.0</v>
      </c>
      <c r="C576" s="4" t="s">
        <v>39</v>
      </c>
      <c r="D576" s="5" t="str">
        <f>IFERROR(__xludf.DUMMYFUNCTION("LET(
  words, TRANSPOSE(SPLIT($C576,""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)"),"the end of October ,")</f>
        <v>the end of October ,</v>
      </c>
      <c r="E576" s="3" t="str">
        <f>IFERROR(__xludf.DUMMYFUNCTION("INDEX(SPLIT($C576,"" ""), ROW()-ROW($E$564)+1)
"),"of")</f>
        <v>of</v>
      </c>
      <c r="F576" s="30" t="s">
        <v>18</v>
      </c>
      <c r="G576" s="2"/>
      <c r="H576" s="1" t="s">
        <v>0</v>
      </c>
      <c r="I576" s="2"/>
      <c r="J576" s="2"/>
      <c r="K576" s="1" t="s">
        <v>15</v>
      </c>
    </row>
    <row r="577" ht="15.75" customHeight="1">
      <c r="A577" s="1">
        <v>576.0</v>
      </c>
      <c r="B577" s="1">
        <v>16.0</v>
      </c>
      <c r="C577" s="4" t="s">
        <v>39</v>
      </c>
      <c r="D577" s="5" t="str">
        <f>IFERROR(__xludf.DUMMYFUNCTION("LET(
  words, TRANSPOSE(SPLIT($C577,""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)"),"end of October , at")</f>
        <v>end of October , at</v>
      </c>
      <c r="E577" s="3" t="str">
        <f>IFERROR(__xludf.DUMMYFUNCTION("INDEX(SPLIT($C577,"" ""), ROW()-ROW($E$564)+1)
"),"October")</f>
        <v>October</v>
      </c>
      <c r="F577" s="30" t="s">
        <v>18</v>
      </c>
      <c r="G577" s="1" t="s">
        <v>28</v>
      </c>
      <c r="H577" s="1" t="s">
        <v>0</v>
      </c>
      <c r="I577" s="2"/>
      <c r="J577" s="2"/>
      <c r="K577" s="1" t="s">
        <v>15</v>
      </c>
    </row>
    <row r="578" ht="15.75" customHeight="1">
      <c r="A578" s="1">
        <v>577.0</v>
      </c>
      <c r="B578" s="1">
        <v>16.0</v>
      </c>
      <c r="C578" s="4" t="s">
        <v>39</v>
      </c>
      <c r="D578" s="5" t="str">
        <f>IFERROR(__xludf.DUMMYFUNCTION("LET(
  words, TRANSPOSE(SPLIT($C578,""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)"),"of October , at the")</f>
        <v>of October , at the</v>
      </c>
      <c r="E578" s="3" t="str">
        <f>IFERROR(__xludf.DUMMYFUNCTION("INDEX(SPLIT($C578,"" ""), ROW()-ROW($E$564)+1)
"),",")</f>
        <v>,</v>
      </c>
      <c r="F578" s="30" t="s">
        <v>17</v>
      </c>
      <c r="G578" s="2"/>
      <c r="H578" s="1" t="s">
        <v>0</v>
      </c>
      <c r="I578" s="2"/>
      <c r="J578" s="2"/>
      <c r="K578" s="1" t="s">
        <v>15</v>
      </c>
    </row>
    <row r="579" ht="15.75" customHeight="1">
      <c r="A579" s="1">
        <v>578.0</v>
      </c>
      <c r="B579" s="1">
        <v>16.0</v>
      </c>
      <c r="C579" s="4" t="s">
        <v>39</v>
      </c>
      <c r="D579" s="5" t="str">
        <f>IFERROR(__xludf.DUMMYFUNCTION("LET(
  words, TRANSPOSE(SPLIT($C579,""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)"),"October , at the same")</f>
        <v>October , at the same</v>
      </c>
      <c r="E579" s="3" t="str">
        <f>IFERROR(__xludf.DUMMYFUNCTION("INDEX(SPLIT($C579,"" ""), ROW()-ROW($E$564)+1)
"),"at")</f>
        <v>at</v>
      </c>
      <c r="F579" s="30" t="s">
        <v>18</v>
      </c>
      <c r="G579" s="2"/>
      <c r="H579" s="1" t="s">
        <v>0</v>
      </c>
      <c r="I579" s="2"/>
      <c r="J579" s="2"/>
      <c r="K579" s="1" t="s">
        <v>15</v>
      </c>
    </row>
    <row r="580" ht="15.75" customHeight="1">
      <c r="A580" s="1">
        <v>579.0</v>
      </c>
      <c r="B580" s="1">
        <v>16.0</v>
      </c>
      <c r="C580" s="4" t="s">
        <v>39</v>
      </c>
      <c r="D580" s="5" t="str">
        <f>IFERROR(__xludf.DUMMYFUNCTION("LET(
  words, TRANSPOSE(SPLIT($C580,""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at the same time")</f>
        <v>, at the same time</v>
      </c>
      <c r="E580" s="3" t="str">
        <f>IFERROR(__xludf.DUMMYFUNCTION("INDEX(SPLIT($C580,"" ""), ROW()-ROW($E$564)+1)
"),"the")</f>
        <v>the</v>
      </c>
      <c r="F580" s="30" t="s">
        <v>18</v>
      </c>
      <c r="G580" s="2"/>
      <c r="H580" s="1" t="s">
        <v>0</v>
      </c>
      <c r="I580" s="2"/>
      <c r="J580" s="2"/>
      <c r="K580" s="1" t="s">
        <v>15</v>
      </c>
    </row>
    <row r="581" ht="15.75" customHeight="1">
      <c r="A581" s="1">
        <v>580.0</v>
      </c>
      <c r="B581" s="1">
        <v>16.0</v>
      </c>
      <c r="C581" s="4" t="s">
        <v>39</v>
      </c>
      <c r="D581" s="5" t="str">
        <f>IFERROR(__xludf.DUMMYFUNCTION("LET(
  words, TRANSPOSE(SPLIT($C581,""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)"),"at the same time dahil")</f>
        <v>at the same time dahil</v>
      </c>
      <c r="E581" s="3" t="str">
        <f>IFERROR(__xludf.DUMMYFUNCTION("INDEX(SPLIT($C581,"" ""), ROW()-ROW($E$564)+1)
"),"same")</f>
        <v>same</v>
      </c>
      <c r="F581" s="30" t="s">
        <v>18</v>
      </c>
      <c r="G581" s="2"/>
      <c r="H581" s="1" t="s">
        <v>0</v>
      </c>
      <c r="I581" s="2"/>
      <c r="J581" s="2"/>
      <c r="K581" s="1" t="s">
        <v>15</v>
      </c>
    </row>
    <row r="582" ht="15.75" customHeight="1">
      <c r="A582" s="1">
        <v>581.0</v>
      </c>
      <c r="B582" s="1">
        <v>16.0</v>
      </c>
      <c r="C582" s="4" t="s">
        <v>39</v>
      </c>
      <c r="D582" s="5" t="str">
        <f>IFERROR(__xludf.DUMMYFUNCTION("LET(
  words, TRANSPOSE(SPLIT($C582,""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)"),"the same time dahil matindi")</f>
        <v>the same time dahil matindi</v>
      </c>
      <c r="E582" s="3" t="str">
        <f>IFERROR(__xludf.DUMMYFUNCTION("INDEX(SPLIT($C582,"" ""), ROW()-ROW($E$564)+1)
"),"time")</f>
        <v>time</v>
      </c>
      <c r="F582" s="30" t="s">
        <v>18</v>
      </c>
      <c r="G582" s="2"/>
      <c r="H582" s="1" t="s">
        <v>0</v>
      </c>
      <c r="I582" s="2"/>
      <c r="J582" s="2"/>
      <c r="K582" s="1" t="s">
        <v>15</v>
      </c>
    </row>
    <row r="583" ht="15.75" customHeight="1">
      <c r="A583" s="1">
        <v>582.0</v>
      </c>
      <c r="B583" s="1">
        <v>16.0</v>
      </c>
      <c r="C583" s="4" t="s">
        <v>39</v>
      </c>
      <c r="D583" s="5" t="str">
        <f>IFERROR(__xludf.DUMMYFUNCTION("LET(
  words, TRANSPOSE(SPLIT($C583,""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)"),"same time dahil matindi rin")</f>
        <v>same time dahil matindi rin</v>
      </c>
      <c r="E583" s="3" t="str">
        <f>IFERROR(__xludf.DUMMYFUNCTION("INDEX(SPLIT($C583,"" ""), ROW()-ROW($E$564)+1)
"),"dahil")</f>
        <v>dahil</v>
      </c>
      <c r="F583" s="30" t="s">
        <v>16</v>
      </c>
      <c r="G583" s="2"/>
      <c r="H583" s="1" t="s">
        <v>0</v>
      </c>
      <c r="I583" s="2"/>
      <c r="J583" s="2"/>
      <c r="K583" s="1" t="s">
        <v>15</v>
      </c>
    </row>
    <row r="584" ht="15.75" customHeight="1">
      <c r="A584" s="1">
        <v>583.0</v>
      </c>
      <c r="B584" s="1">
        <v>16.0</v>
      </c>
      <c r="C584" s="4" t="s">
        <v>39</v>
      </c>
      <c r="D584" s="5" t="str">
        <f>IFERROR(__xludf.DUMMYFUNCTION("LET(
  words, TRANSPOSE(SPLIT($C584,""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)"),"time dahil matindi rin ang")</f>
        <v>time dahil matindi rin ang</v>
      </c>
      <c r="E584" s="3" t="str">
        <f>IFERROR(__xludf.DUMMYFUNCTION("INDEX(SPLIT($C584,"" ""), ROW()-ROW($E$564)+1)
"),"matindi")</f>
        <v>matindi</v>
      </c>
      <c r="F584" s="30" t="s">
        <v>16</v>
      </c>
      <c r="G584" s="2"/>
      <c r="H584" s="1" t="s">
        <v>0</v>
      </c>
      <c r="I584" s="2"/>
      <c r="J584" s="2"/>
      <c r="K584" s="1" t="s">
        <v>15</v>
      </c>
    </row>
    <row r="585" ht="15.75" customHeight="1">
      <c r="A585" s="1">
        <v>584.0</v>
      </c>
      <c r="B585" s="1">
        <v>16.0</v>
      </c>
      <c r="C585" s="4" t="s">
        <v>39</v>
      </c>
      <c r="D585" s="5" t="str">
        <f>IFERROR(__xludf.DUMMYFUNCTION("LET(
  words, TRANSPOSE(SPLIT($C585,""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)"),"dahil matindi rin ang pangamba")</f>
        <v>dahil matindi rin ang pangamba</v>
      </c>
      <c r="E585" s="3" t="str">
        <f>IFERROR(__xludf.DUMMYFUNCTION("INDEX(SPLIT($C585,"" ""), ROW()-ROW($E$564)+1)
"),"rin")</f>
        <v>rin</v>
      </c>
      <c r="F585" s="30" t="s">
        <v>16</v>
      </c>
      <c r="G585" s="2"/>
      <c r="H585" s="1" t="s">
        <v>0</v>
      </c>
      <c r="I585" s="2"/>
      <c r="J585" s="2"/>
      <c r="K585" s="1" t="s">
        <v>15</v>
      </c>
    </row>
    <row r="586" ht="15.75" customHeight="1">
      <c r="A586" s="1">
        <v>585.0</v>
      </c>
      <c r="B586" s="1">
        <v>16.0</v>
      </c>
      <c r="C586" s="4" t="s">
        <v>39</v>
      </c>
      <c r="D586" s="5" t="str">
        <f>IFERROR(__xludf.DUMMYFUNCTION("LET(
  words, TRANSPOSE(SPLIT($C586,""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)"),"matindi rin ang pangamba ng")</f>
        <v>matindi rin ang pangamba ng</v>
      </c>
      <c r="E586" s="3" t="str">
        <f>IFERROR(__xludf.DUMMYFUNCTION("INDEX(SPLIT($C586,"" ""), ROW()-ROW($E$564)+1)
"),"ang")</f>
        <v>ang</v>
      </c>
      <c r="F586" s="30" t="s">
        <v>16</v>
      </c>
      <c r="G586" s="2"/>
      <c r="H586" s="1" t="s">
        <v>0</v>
      </c>
      <c r="I586" s="2"/>
      <c r="J586" s="2"/>
      <c r="K586" s="1" t="s">
        <v>15</v>
      </c>
    </row>
    <row r="587" ht="15.75" customHeight="1">
      <c r="A587" s="1">
        <v>586.0</v>
      </c>
      <c r="B587" s="1">
        <v>16.0</v>
      </c>
      <c r="C587" s="4" t="s">
        <v>39</v>
      </c>
      <c r="D587" s="5" t="str">
        <f>IFERROR(__xludf.DUMMYFUNCTION("LET(
  words, TRANSPOSE(SPLIT($C587,""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)"),"rin ang pangamba ng mga")</f>
        <v>rin ang pangamba ng mga</v>
      </c>
      <c r="E587" s="3" t="str">
        <f>IFERROR(__xludf.DUMMYFUNCTION("INDEX(SPLIT($C587,"" ""), ROW()-ROW($E$564)+1)
"),"pangamba")</f>
        <v>pangamba</v>
      </c>
      <c r="F587" s="30" t="s">
        <v>16</v>
      </c>
      <c r="G587" s="2"/>
      <c r="H587" s="1" t="s">
        <v>0</v>
      </c>
      <c r="I587" s="2"/>
      <c r="J587" s="2"/>
      <c r="K587" s="1" t="s">
        <v>15</v>
      </c>
    </row>
    <row r="588" ht="15.75" customHeight="1">
      <c r="A588" s="1">
        <v>587.0</v>
      </c>
      <c r="B588" s="1">
        <v>16.0</v>
      </c>
      <c r="C588" s="4" t="s">
        <v>39</v>
      </c>
      <c r="D588" s="5" t="str">
        <f>IFERROR(__xludf.DUMMYFUNCTION("LET(
  words, TRANSPOSE(SPLIT($C588,""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pangamba ng mga magulang")</f>
        <v>ang pangamba ng mga magulang</v>
      </c>
      <c r="E588" s="3" t="str">
        <f>IFERROR(__xludf.DUMMYFUNCTION("INDEX(SPLIT($C588,"" ""), ROW()-ROW($E$564)+1)
"),"ng")</f>
        <v>ng</v>
      </c>
      <c r="F588" s="30" t="s">
        <v>16</v>
      </c>
      <c r="G588" s="2"/>
      <c r="H588" s="1" t="s">
        <v>0</v>
      </c>
      <c r="I588" s="2"/>
      <c r="J588" s="2"/>
      <c r="K588" s="1" t="s">
        <v>15</v>
      </c>
    </row>
    <row r="589" ht="15.75" customHeight="1">
      <c r="A589" s="1">
        <v>588.0</v>
      </c>
      <c r="B589" s="1">
        <v>16.0</v>
      </c>
      <c r="C589" s="4" t="s">
        <v>39</v>
      </c>
      <c r="D589" s="5" t="str">
        <f>IFERROR(__xludf.DUMMYFUNCTION("LET(
  words, TRANSPOSE(SPLIT($C589,""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)"),"pangamba ng mga magulang lalo")</f>
        <v>pangamba ng mga magulang lalo</v>
      </c>
      <c r="E589" s="3" t="str">
        <f>IFERROR(__xludf.DUMMYFUNCTION("INDEX(SPLIT($C589,"" ""), ROW()-ROW($E$564)+1)
"),"mga")</f>
        <v>mga</v>
      </c>
      <c r="F589" s="30" t="s">
        <v>16</v>
      </c>
      <c r="G589" s="2"/>
      <c r="H589" s="1" t="s">
        <v>0</v>
      </c>
      <c r="I589" s="2"/>
      <c r="J589" s="2"/>
      <c r="K589" s="1" t="s">
        <v>15</v>
      </c>
    </row>
    <row r="590" ht="15.75" customHeight="1">
      <c r="A590" s="1">
        <v>589.0</v>
      </c>
      <c r="B590" s="1">
        <v>16.0</v>
      </c>
      <c r="C590" s="4" t="s">
        <v>39</v>
      </c>
      <c r="D590" s="5" t="str">
        <f>IFERROR(__xludf.DUMMYFUNCTION("LET(
  words, TRANSPOSE(SPLIT($C590,""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)"),"ng mga magulang lalo na")</f>
        <v>ng mga magulang lalo na</v>
      </c>
      <c r="E590" s="3" t="str">
        <f>IFERROR(__xludf.DUMMYFUNCTION("INDEX(SPLIT($C590,"" ""), ROW()-ROW($E$564)+1)
"),"magulang")</f>
        <v>magulang</v>
      </c>
      <c r="F590" s="30" t="s">
        <v>16</v>
      </c>
      <c r="G590" s="2"/>
      <c r="H590" s="1" t="s">
        <v>0</v>
      </c>
      <c r="I590" s="2"/>
      <c r="J590" s="2"/>
      <c r="K590" s="1" t="s">
        <v>15</v>
      </c>
    </row>
    <row r="591" ht="15.75" customHeight="1">
      <c r="A591" s="1">
        <v>590.0</v>
      </c>
      <c r="B591" s="1">
        <v>16.0</v>
      </c>
      <c r="C591" s="4" t="s">
        <v>39</v>
      </c>
      <c r="D591" s="5" t="str">
        <f>IFERROR(__xludf.DUMMYFUNCTION("LET(
  words, TRANSPOSE(SPLIT($C591,""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)"),"mga magulang lalo na matataas")</f>
        <v>mga magulang lalo na matataas</v>
      </c>
      <c r="E591" s="3" t="str">
        <f>IFERROR(__xludf.DUMMYFUNCTION("INDEX(SPLIT($C591,"" ""), ROW()-ROW($E$564)+1)
"),"lalo")</f>
        <v>lalo</v>
      </c>
      <c r="F591" s="30" t="s">
        <v>16</v>
      </c>
      <c r="G591" s="2"/>
      <c r="H591" s="1" t="s">
        <v>0</v>
      </c>
      <c r="I591" s="2"/>
      <c r="J591" s="2"/>
      <c r="K591" s="1" t="s">
        <v>15</v>
      </c>
    </row>
    <row r="592" ht="15.75" customHeight="1">
      <c r="A592" s="1">
        <v>591.0</v>
      </c>
      <c r="B592" s="1">
        <v>16.0</v>
      </c>
      <c r="C592" s="4" t="s">
        <v>39</v>
      </c>
      <c r="D592" s="5" t="str">
        <f>IFERROR(__xludf.DUMMYFUNCTION("LET(
  words, TRANSPOSE(SPLIT($C592,""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)"),"magulang lalo na matataas din")</f>
        <v>magulang lalo na matataas din</v>
      </c>
      <c r="E592" s="3" t="str">
        <f>IFERROR(__xludf.DUMMYFUNCTION("INDEX(SPLIT($C592,"" ""), ROW()-ROW($E$564)+1)
"),"na")</f>
        <v>na</v>
      </c>
      <c r="F592" s="30" t="s">
        <v>16</v>
      </c>
      <c r="G592" s="2"/>
      <c r="H592" s="1" t="s">
        <v>0</v>
      </c>
      <c r="I592" s="2"/>
      <c r="J592" s="2"/>
      <c r="K592" s="1" t="s">
        <v>15</v>
      </c>
    </row>
    <row r="593" ht="15.75" customHeight="1">
      <c r="A593" s="1">
        <v>592.0</v>
      </c>
      <c r="B593" s="1">
        <v>16.0</v>
      </c>
      <c r="C593" s="4" t="s">
        <v>39</v>
      </c>
      <c r="D593" s="5" t="str">
        <f>IFERROR(__xludf.DUMMYFUNCTION("LET(
  words, TRANSPOSE(SPLIT($C593,""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)"),"lalo na matataas din ang")</f>
        <v>lalo na matataas din ang</v>
      </c>
      <c r="E593" s="3" t="str">
        <f>IFERROR(__xludf.DUMMYFUNCTION("INDEX(SPLIT($C593,"" ""), ROW()-ROW($E$564)+1)
"),"matataas")</f>
        <v>matataas</v>
      </c>
      <c r="F593" s="30" t="s">
        <v>16</v>
      </c>
      <c r="G593" s="2"/>
      <c r="H593" s="1" t="s">
        <v>0</v>
      </c>
      <c r="I593" s="2"/>
      <c r="J593" s="2"/>
      <c r="K593" s="1" t="s">
        <v>15</v>
      </c>
    </row>
    <row r="594" ht="15.75" customHeight="1">
      <c r="A594" s="1">
        <v>593.0</v>
      </c>
      <c r="B594" s="1">
        <v>16.0</v>
      </c>
      <c r="C594" s="4" t="s">
        <v>39</v>
      </c>
      <c r="D594" s="5" t="str">
        <f>IFERROR(__xludf.DUMMYFUNCTION("LET(
  words, TRANSPOSE(SPLIT($C594,""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matataas din ang building")</f>
        <v>na matataas din ang building</v>
      </c>
      <c r="E594" s="3" t="str">
        <f>IFERROR(__xludf.DUMMYFUNCTION("INDEX(SPLIT($C594,"" ""), ROW()-ROW($E$564)+1)
"),"din")</f>
        <v>din</v>
      </c>
      <c r="F594" s="30" t="s">
        <v>16</v>
      </c>
      <c r="G594" s="2"/>
      <c r="H594" s="1" t="s">
        <v>0</v>
      </c>
      <c r="I594" s="2"/>
      <c r="J594" s="2"/>
      <c r="K594" s="1" t="s">
        <v>15</v>
      </c>
    </row>
    <row r="595" ht="15.75" customHeight="1">
      <c r="A595" s="1">
        <v>594.0</v>
      </c>
      <c r="B595" s="1">
        <v>16.0</v>
      </c>
      <c r="C595" s="4" t="s">
        <v>39</v>
      </c>
      <c r="D595" s="5" t="str">
        <f>IFERROR(__xludf.DUMMYFUNCTION("LET(
  words, TRANSPOSE(SPLIT($C595,""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)"),"matataas din ang building ,")</f>
        <v>matataas din ang building ,</v>
      </c>
      <c r="E595" s="3" t="str">
        <f>IFERROR(__xludf.DUMMYFUNCTION("INDEX(SPLIT($C595,"" ""), ROW()-ROW($E$564)+1)
"),"ang")</f>
        <v>ang</v>
      </c>
      <c r="F595" s="30" t="s">
        <v>16</v>
      </c>
      <c r="G595" s="2"/>
      <c r="H595" s="1" t="s">
        <v>0</v>
      </c>
      <c r="I595" s="2"/>
      <c r="J595" s="2"/>
      <c r="K595" s="1" t="s">
        <v>15</v>
      </c>
    </row>
    <row r="596" ht="15.75" customHeight="1">
      <c r="A596" s="1">
        <v>595.0</v>
      </c>
      <c r="B596" s="1">
        <v>16.0</v>
      </c>
      <c r="C596" s="4" t="s">
        <v>39</v>
      </c>
      <c r="D596" s="5" t="str">
        <f>IFERROR(__xludf.DUMMYFUNCTION("LET(
  words, TRANSPOSE(SPLIT($C596,""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)"),"din ang building , mga")</f>
        <v>din ang building , mga</v>
      </c>
      <c r="E596" s="3" t="str">
        <f>IFERROR(__xludf.DUMMYFUNCTION("INDEX(SPLIT($C596,"" ""), ROW()-ROW($E$564)+1)
"),"building")</f>
        <v>building</v>
      </c>
      <c r="F596" s="30" t="s">
        <v>18</v>
      </c>
      <c r="G596" s="2"/>
      <c r="H596" s="1" t="s">
        <v>0</v>
      </c>
      <c r="I596" s="2"/>
      <c r="J596" s="2"/>
      <c r="K596" s="1" t="s">
        <v>15</v>
      </c>
    </row>
    <row r="597" ht="15.75" customHeight="1">
      <c r="A597" s="1">
        <v>596.0</v>
      </c>
      <c r="B597" s="1">
        <v>16.0</v>
      </c>
      <c r="C597" s="4" t="s">
        <v>39</v>
      </c>
      <c r="D597" s="5" t="str">
        <f>IFERROR(__xludf.DUMMYFUNCTION("LET(
  words, TRANSPOSE(SPLIT($C597,""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building , mga school")</f>
        <v>ang building , mga school</v>
      </c>
      <c r="E597" s="3" t="str">
        <f>IFERROR(__xludf.DUMMYFUNCTION("INDEX(SPLIT($C597,"" ""), ROW()-ROW($E$564)+1)
"),",")</f>
        <v>,</v>
      </c>
      <c r="F597" s="30" t="s">
        <v>17</v>
      </c>
      <c r="G597" s="2"/>
      <c r="H597" s="1" t="s">
        <v>0</v>
      </c>
      <c r="I597" s="2"/>
      <c r="J597" s="2"/>
      <c r="K597" s="1" t="s">
        <v>15</v>
      </c>
    </row>
    <row r="598" ht="15.75" customHeight="1">
      <c r="A598" s="1">
        <v>597.0</v>
      </c>
      <c r="B598" s="1">
        <v>16.0</v>
      </c>
      <c r="C598" s="4" t="s">
        <v>39</v>
      </c>
      <c r="D598" s="5" t="str">
        <f>IFERROR(__xludf.DUMMYFUNCTION("LET(
  words, TRANSPOSE(SPLIT($C598,""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)"),"building , mga school buildings")</f>
        <v>building , mga school buildings</v>
      </c>
      <c r="E598" s="3" t="str">
        <f>IFERROR(__xludf.DUMMYFUNCTION("INDEX(SPLIT($C598,"" ""), ROW()-ROW($E$564)+1)
"),"mga")</f>
        <v>mga</v>
      </c>
      <c r="F598" s="30" t="s">
        <v>16</v>
      </c>
      <c r="G598" s="2"/>
      <c r="H598" s="1" t="s">
        <v>0</v>
      </c>
      <c r="I598" s="2"/>
      <c r="J598" s="2"/>
      <c r="K598" s="1" t="s">
        <v>15</v>
      </c>
    </row>
    <row r="599" ht="15.75" customHeight="1">
      <c r="A599" s="1">
        <v>598.0</v>
      </c>
      <c r="B599" s="1">
        <v>16.0</v>
      </c>
      <c r="C599" s="4" t="s">
        <v>39</v>
      </c>
      <c r="D599" s="5" t="str">
        <f>IFERROR(__xludf.DUMMYFUNCTION("LET(
  words, TRANSPOSE(SPLIT($C599,""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mga school buildings dito")</f>
        <v>, mga school buildings dito</v>
      </c>
      <c r="E599" s="3" t="str">
        <f>IFERROR(__xludf.DUMMYFUNCTION("INDEX(SPLIT($C599,"" ""), ROW()-ROW($E$564)+1)
"),"school")</f>
        <v>school</v>
      </c>
      <c r="F599" s="30" t="s">
        <v>18</v>
      </c>
      <c r="G599" s="2"/>
      <c r="H599" s="1" t="s">
        <v>0</v>
      </c>
      <c r="I599" s="2"/>
      <c r="J599" s="2"/>
      <c r="K599" s="1" t="s">
        <v>15</v>
      </c>
    </row>
    <row r="600" ht="15.75" customHeight="1">
      <c r="A600" s="1">
        <v>599.0</v>
      </c>
      <c r="B600" s="1">
        <v>16.0</v>
      </c>
      <c r="C600" s="4" t="s">
        <v>39</v>
      </c>
      <c r="D600" s="5" t="str">
        <f>IFERROR(__xludf.DUMMYFUNCTION("LET(
  words, TRANSPOSE(SPLIT($C600,""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)"),"mga school buildings dito sa")</f>
        <v>mga school buildings dito sa</v>
      </c>
      <c r="E600" s="3" t="str">
        <f>IFERROR(__xludf.DUMMYFUNCTION("INDEX(SPLIT($C600,"" ""), ROW()-ROW($E$564)+1)
"),"buildings")</f>
        <v>buildings</v>
      </c>
      <c r="F600" s="30" t="s">
        <v>18</v>
      </c>
      <c r="G600" s="2"/>
      <c r="H600" s="1" t="s">
        <v>0</v>
      </c>
      <c r="I600" s="2"/>
      <c r="J600" s="2"/>
      <c r="K600" s="1" t="s">
        <v>15</v>
      </c>
    </row>
    <row r="601" ht="15.75" customHeight="1">
      <c r="A601" s="1">
        <v>600.0</v>
      </c>
      <c r="B601" s="1">
        <v>16.0</v>
      </c>
      <c r="C601" s="4" t="s">
        <v>39</v>
      </c>
      <c r="D601" s="5" t="str">
        <f>IFERROR(__xludf.DUMMYFUNCTION("LET(
  words, TRANSPOSE(SPLIT($C601,""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)"),"school buildings dito sa amin")</f>
        <v>school buildings dito sa amin</v>
      </c>
      <c r="E601" s="3" t="str">
        <f>IFERROR(__xludf.DUMMYFUNCTION("INDEX(SPLIT($C601,"" ""), ROW()-ROW($E$564)+1)
"),"dito")</f>
        <v>dito</v>
      </c>
      <c r="F601" s="30" t="s">
        <v>16</v>
      </c>
      <c r="G601" s="2"/>
      <c r="H601" s="1" t="s">
        <v>0</v>
      </c>
      <c r="I601" s="2"/>
      <c r="J601" s="2"/>
      <c r="K601" s="1" t="s">
        <v>15</v>
      </c>
    </row>
    <row r="602" ht="15.75" customHeight="1">
      <c r="A602" s="1">
        <v>601.0</v>
      </c>
      <c r="B602" s="1">
        <v>16.0</v>
      </c>
      <c r="C602" s="4" t="s">
        <v>39</v>
      </c>
      <c r="D602" s="5" t="str">
        <f>IFERROR(__xludf.DUMMYFUNCTION("LET(
  words, TRANSPOSE(SPLIT($C602,""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)"),"buildings dito sa amin ,")</f>
        <v>buildings dito sa amin ,</v>
      </c>
      <c r="E602" s="3" t="str">
        <f>IFERROR(__xludf.DUMMYFUNCTION("INDEX(SPLIT($C602,"" ""), ROW()-ROW($E$564)+1)
"),"sa")</f>
        <v>sa</v>
      </c>
      <c r="F602" s="30" t="s">
        <v>16</v>
      </c>
      <c r="G602" s="2"/>
      <c r="H602" s="1" t="s">
        <v>0</v>
      </c>
      <c r="I602" s="2"/>
      <c r="J602" s="2"/>
      <c r="K602" s="1" t="s">
        <v>15</v>
      </c>
    </row>
    <row r="603" ht="15.75" customHeight="1">
      <c r="A603" s="1">
        <v>602.0</v>
      </c>
      <c r="B603" s="1">
        <v>16.0</v>
      </c>
      <c r="C603" s="4" t="s">
        <v>39</v>
      </c>
      <c r="D603" s="5" t="str">
        <f>IFERROR(__xludf.DUMMYFUNCTION("LET(
  words, TRANSPOSE(SPLIT($C603,""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)"),"dito sa amin , nagdesisyon")</f>
        <v>dito sa amin , nagdesisyon</v>
      </c>
      <c r="E603" s="3" t="str">
        <f>IFERROR(__xludf.DUMMYFUNCTION("INDEX(SPLIT($C603,"" ""), ROW()-ROW($E$564)+1)
"),"amin")</f>
        <v>amin</v>
      </c>
      <c r="F603" s="30" t="s">
        <v>16</v>
      </c>
      <c r="G603" s="2"/>
      <c r="H603" s="1" t="s">
        <v>0</v>
      </c>
      <c r="I603" s="2"/>
      <c r="J603" s="2"/>
      <c r="K603" s="1" t="s">
        <v>15</v>
      </c>
    </row>
    <row r="604" ht="15.75" customHeight="1">
      <c r="A604" s="1">
        <v>603.0</v>
      </c>
      <c r="B604" s="1">
        <v>16.0</v>
      </c>
      <c r="C604" s="4" t="s">
        <v>39</v>
      </c>
      <c r="D604" s="5" t="str">
        <f>IFERROR(__xludf.DUMMYFUNCTION("LET(
  words, TRANSPOSE(SPLIT($C604,""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amin , nagdesisyon na")</f>
        <v>sa amin , nagdesisyon na</v>
      </c>
      <c r="E604" s="3" t="str">
        <f>IFERROR(__xludf.DUMMYFUNCTION("INDEX(SPLIT($C604,"" ""), ROW()-ROW($E$564)+1)
"),",")</f>
        <v>,</v>
      </c>
      <c r="F604" s="30" t="s">
        <v>17</v>
      </c>
      <c r="G604" s="2"/>
      <c r="H604" s="1" t="s">
        <v>0</v>
      </c>
      <c r="I604" s="2"/>
      <c r="J604" s="2"/>
      <c r="K604" s="1" t="s">
        <v>15</v>
      </c>
    </row>
    <row r="605" ht="15.75" customHeight="1">
      <c r="A605" s="1">
        <v>604.0</v>
      </c>
      <c r="B605" s="1">
        <v>16.0</v>
      </c>
      <c r="C605" s="4" t="s">
        <v>39</v>
      </c>
      <c r="D605" s="5" t="str">
        <f>IFERROR(__xludf.DUMMYFUNCTION("LET(
  words, TRANSPOSE(SPLIT($C605,""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)"),"amin , nagdesisyon na kami")</f>
        <v>amin , nagdesisyon na kami</v>
      </c>
      <c r="E605" s="3" t="str">
        <f>IFERROR(__xludf.DUMMYFUNCTION("INDEX(SPLIT($C605,"" ""), ROW()-ROW($E$564)+1)
"),"nagdesisyon")</f>
        <v>nagdesisyon</v>
      </c>
      <c r="F605" s="30" t="s">
        <v>16</v>
      </c>
      <c r="G605" s="2"/>
      <c r="H605" s="1" t="s">
        <v>0</v>
      </c>
      <c r="I605" s="2"/>
      <c r="J605" s="2"/>
      <c r="K605" s="1" t="s">
        <v>15</v>
      </c>
    </row>
    <row r="606" ht="15.75" customHeight="1">
      <c r="A606" s="1">
        <v>605.0</v>
      </c>
      <c r="B606" s="1">
        <v>16.0</v>
      </c>
      <c r="C606" s="4" t="s">
        <v>39</v>
      </c>
      <c r="D606" s="5" t="str">
        <f>IFERROR(__xludf.DUMMYFUNCTION("LET(
  words, TRANSPOSE(SPLIT($C606,""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nagdesisyon na kami .")</f>
        <v>, nagdesisyon na kami .</v>
      </c>
      <c r="E606" s="3" t="str">
        <f>IFERROR(__xludf.DUMMYFUNCTION("INDEX(SPLIT($C606,"" ""), ROW()-ROW($E$564)+1)
"),"na")</f>
        <v>na</v>
      </c>
      <c r="F606" s="30" t="s">
        <v>16</v>
      </c>
      <c r="G606" s="2"/>
      <c r="H606" s="1" t="s">
        <v>0</v>
      </c>
      <c r="I606" s="2"/>
      <c r="J606" s="2"/>
      <c r="K606" s="1" t="s">
        <v>15</v>
      </c>
    </row>
    <row r="607" ht="15.75" customHeight="1">
      <c r="A607" s="1">
        <v>606.0</v>
      </c>
      <c r="B607" s="1">
        <v>16.0</v>
      </c>
      <c r="C607" s="4" t="s">
        <v>39</v>
      </c>
      <c r="D607" s="5" t="str">
        <f>IFERROR(__xludf.DUMMYFUNCTION("LET(
  words, TRANSPOSE(SPLIT($C607,""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)"),"nagdesisyon na kami . Preemptive")</f>
        <v>nagdesisyon na kami . Preemptive</v>
      </c>
      <c r="E607" s="3" t="str">
        <f>IFERROR(__xludf.DUMMYFUNCTION("INDEX(SPLIT($C607,"" ""), ROW()-ROW($E$564)+1)
"),"kami")</f>
        <v>kami</v>
      </c>
      <c r="F607" s="30" t="s">
        <v>16</v>
      </c>
      <c r="G607" s="2"/>
      <c r="H607" s="1" t="s">
        <v>0</v>
      </c>
      <c r="I607" s="2"/>
      <c r="J607" s="2"/>
      <c r="K607" s="1" t="s">
        <v>15</v>
      </c>
    </row>
    <row r="608" ht="15.75" customHeight="1">
      <c r="A608" s="1">
        <v>607.0</v>
      </c>
      <c r="B608" s="1">
        <v>16.0</v>
      </c>
      <c r="C608" s="4" t="s">
        <v>39</v>
      </c>
      <c r="D608" s="5" t="str">
        <f>IFERROR(__xludf.DUMMYFUNCTION("LET(
  words, TRANSPOSE(SPLIT($C608,""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kami . Preemptive kumbaga")</f>
        <v>na kami . Preemptive kumbaga</v>
      </c>
      <c r="E608" s="3" t="str">
        <f>IFERROR(__xludf.DUMMYFUNCTION("INDEX(SPLIT($C608,"" ""), ROW()-ROW($E$564)+1)
"),".")</f>
        <v>.</v>
      </c>
      <c r="F608" s="30" t="s">
        <v>17</v>
      </c>
      <c r="G608" s="2"/>
      <c r="H608" s="1" t="s">
        <v>0</v>
      </c>
      <c r="I608" s="2"/>
      <c r="J608" s="2"/>
      <c r="K608" s="1" t="s">
        <v>15</v>
      </c>
    </row>
    <row r="609" ht="15.75" customHeight="1">
      <c r="A609" s="1">
        <v>608.0</v>
      </c>
      <c r="B609" s="1">
        <v>16.0</v>
      </c>
      <c r="C609" s="4" t="s">
        <v>39</v>
      </c>
      <c r="D609" s="5" t="str">
        <f>IFERROR(__xludf.DUMMYFUNCTION("LET(
  words, TRANSPOSE(SPLIT($C609,""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)"),"kami . Preemptive kumbaga nakakatakot")</f>
        <v>kami . Preemptive kumbaga nakakatakot</v>
      </c>
      <c r="E609" s="3" t="str">
        <f>IFERROR(__xludf.DUMMYFUNCTION("INDEX(SPLIT($C609,"" ""), ROW()-ROW($E$564)+1)
"),"Preemptive")</f>
        <v>Preemptive</v>
      </c>
      <c r="F609" s="30" t="s">
        <v>18</v>
      </c>
      <c r="G609" s="2"/>
      <c r="H609" s="1" t="s">
        <v>0</v>
      </c>
      <c r="I609" s="2"/>
      <c r="J609" s="2"/>
      <c r="K609" s="1" t="s">
        <v>15</v>
      </c>
    </row>
    <row r="610" ht="15.75" customHeight="1">
      <c r="A610" s="1">
        <v>609.0</v>
      </c>
      <c r="B610" s="1">
        <v>16.0</v>
      </c>
      <c r="C610" s="4" t="s">
        <v>39</v>
      </c>
      <c r="D610" s="5" t="str">
        <f>IFERROR(__xludf.DUMMYFUNCTION("LET(
  words, TRANSPOSE(SPLIT($C610,""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Preemptive kumbaga nakakatakot na")</f>
        <v>. Preemptive kumbaga nakakatakot na</v>
      </c>
      <c r="E610" s="3" t="str">
        <f>IFERROR(__xludf.DUMMYFUNCTION("INDEX(SPLIT($C610,"" ""), ROW()-ROW($E$564)+1)
"),"kumbaga")</f>
        <v>kumbaga</v>
      </c>
      <c r="F610" s="30" t="s">
        <v>16</v>
      </c>
      <c r="G610" s="2"/>
      <c r="H610" s="1" t="s">
        <v>0</v>
      </c>
      <c r="I610" s="2"/>
      <c r="J610" s="2"/>
      <c r="K610" s="1" t="s">
        <v>15</v>
      </c>
    </row>
    <row r="611" ht="15.75" customHeight="1">
      <c r="A611" s="1">
        <v>610.0</v>
      </c>
      <c r="B611" s="1">
        <v>16.0</v>
      </c>
      <c r="C611" s="4" t="s">
        <v>39</v>
      </c>
      <c r="D611" s="5" t="str">
        <f>IFERROR(__xludf.DUMMYFUNCTION("LET(
  words, TRANSPOSE(SPLIT($C611,""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)"),"Preemptive kumbaga nakakatakot na may")</f>
        <v>Preemptive kumbaga nakakatakot na may</v>
      </c>
      <c r="E611" s="3" t="str">
        <f>IFERROR(__xludf.DUMMYFUNCTION("INDEX(SPLIT($C611,"" ""), ROW()-ROW($E$564)+1)
"),"nakakatakot")</f>
        <v>nakakatakot</v>
      </c>
      <c r="F611" s="30" t="s">
        <v>16</v>
      </c>
      <c r="G611" s="2"/>
      <c r="H611" s="1" t="s">
        <v>0</v>
      </c>
      <c r="I611" s="2"/>
      <c r="J611" s="2"/>
      <c r="K611" s="1" t="s">
        <v>15</v>
      </c>
    </row>
    <row r="612" ht="15.75" customHeight="1">
      <c r="A612" s="1">
        <v>611.0</v>
      </c>
      <c r="B612" s="1">
        <v>16.0</v>
      </c>
      <c r="C612" s="4" t="s">
        <v>39</v>
      </c>
      <c r="D612" s="5" t="str">
        <f>IFERROR(__xludf.DUMMYFUNCTION("LET(
  words, TRANSPOSE(SPLIT($C612,""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)"),"kumbaga nakakatakot na may mangyari")</f>
        <v>kumbaga nakakatakot na may mangyari</v>
      </c>
      <c r="E612" s="3" t="str">
        <f>IFERROR(__xludf.DUMMYFUNCTION("INDEX(SPLIT($C612,"" ""), ROW()-ROW($E$564)+1)
"),"na")</f>
        <v>na</v>
      </c>
      <c r="F612" s="30" t="s">
        <v>16</v>
      </c>
      <c r="G612" s="2"/>
      <c r="H612" s="1" t="s">
        <v>0</v>
      </c>
      <c r="I612" s="2"/>
      <c r="J612" s="2"/>
      <c r="K612" s="1" t="s">
        <v>15</v>
      </c>
    </row>
    <row r="613" ht="15.75" customHeight="1">
      <c r="A613" s="1">
        <v>612.0</v>
      </c>
      <c r="B613" s="1">
        <v>16.0</v>
      </c>
      <c r="C613" s="4" t="s">
        <v>39</v>
      </c>
      <c r="D613" s="5" t="str">
        <f>IFERROR(__xludf.DUMMYFUNCTION("LET(
  words, TRANSPOSE(SPLIT($C613,""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)"),"nakakatakot na may mangyari ang")</f>
        <v>nakakatakot na may mangyari ang</v>
      </c>
      <c r="E613" s="3" t="str">
        <f>IFERROR(__xludf.DUMMYFUNCTION("INDEX(SPLIT($C613,"" ""), ROW()-ROW($E$564)+1)
"),"may")</f>
        <v>may</v>
      </c>
      <c r="F613" s="30" t="s">
        <v>16</v>
      </c>
      <c r="G613" s="2"/>
      <c r="H613" s="1" t="s">
        <v>0</v>
      </c>
      <c r="I613" s="2"/>
      <c r="J613" s="2"/>
      <c r="K613" s="1" t="s">
        <v>15</v>
      </c>
    </row>
    <row r="614" ht="15.75" customHeight="1">
      <c r="A614" s="1">
        <v>613.0</v>
      </c>
      <c r="B614" s="1">
        <v>16.0</v>
      </c>
      <c r="C614" s="4" t="s">
        <v>39</v>
      </c>
      <c r="D614" s="5" t="str">
        <f>IFERROR(__xludf.DUMMYFUNCTION("LET(
  words, TRANSPOSE(SPLIT($C614,""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may mangyari ang mga")</f>
        <v>na may mangyari ang mga</v>
      </c>
      <c r="E614" s="3" t="str">
        <f>IFERROR(__xludf.DUMMYFUNCTION("INDEX(SPLIT($C614,"" ""), ROW()-ROW($E$564)+1)
"),"mangyari")</f>
        <v>mangyari</v>
      </c>
      <c r="F614" s="30" t="s">
        <v>16</v>
      </c>
      <c r="G614" s="2"/>
      <c r="H614" s="1" t="s">
        <v>0</v>
      </c>
      <c r="I614" s="2"/>
      <c r="J614" s="2"/>
      <c r="K614" s="1" t="s">
        <v>15</v>
      </c>
    </row>
    <row r="615" ht="15.75" customHeight="1">
      <c r="A615" s="1">
        <v>614.0</v>
      </c>
      <c r="B615" s="1">
        <v>16.0</v>
      </c>
      <c r="C615" s="4" t="s">
        <v>39</v>
      </c>
      <c r="D615" s="5" t="str">
        <f>IFERROR(__xludf.DUMMYFUNCTION("LET(
  words, TRANSPOSE(SPLIT($C615,""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)"),"may mangyari ang mga bata")</f>
        <v>may mangyari ang mga bata</v>
      </c>
      <c r="E615" s="3" t="str">
        <f>IFERROR(__xludf.DUMMYFUNCTION("INDEX(SPLIT($C615,"" ""), ROW()-ROW($E$564)+1)
"),"ang")</f>
        <v>ang</v>
      </c>
      <c r="F615" s="30" t="s">
        <v>16</v>
      </c>
      <c r="G615" s="2"/>
      <c r="H615" s="1" t="s">
        <v>0</v>
      </c>
      <c r="I615" s="2"/>
      <c r="J615" s="2"/>
      <c r="K615" s="1" t="s">
        <v>15</v>
      </c>
    </row>
    <row r="616" ht="15.75" customHeight="1">
      <c r="A616" s="1">
        <v>615.0</v>
      </c>
      <c r="B616" s="1">
        <v>16.0</v>
      </c>
      <c r="C616" s="4" t="s">
        <v>39</v>
      </c>
      <c r="D616" s="5" t="str">
        <f>IFERROR(__xludf.DUMMYFUNCTION("LET(
  words, TRANSPOSE(SPLIT($C616,""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)"),"mangyari ang mga bata ay")</f>
        <v>mangyari ang mga bata ay</v>
      </c>
      <c r="E616" s="3" t="str">
        <f>IFERROR(__xludf.DUMMYFUNCTION("INDEX(SPLIT($C616,"" ""), ROW()-ROW($E$564)+1)
"),"mga")</f>
        <v>mga</v>
      </c>
      <c r="F616" s="30" t="s">
        <v>16</v>
      </c>
      <c r="G616" s="2"/>
      <c r="H616" s="1" t="s">
        <v>0</v>
      </c>
      <c r="I616" s="2"/>
      <c r="J616" s="2"/>
      <c r="K616" s="1" t="s">
        <v>15</v>
      </c>
    </row>
    <row r="617" ht="15.75" customHeight="1">
      <c r="A617" s="1">
        <v>616.0</v>
      </c>
      <c r="B617" s="1">
        <v>16.0</v>
      </c>
      <c r="C617" s="4" t="s">
        <v>39</v>
      </c>
      <c r="D617" s="5" t="str">
        <f>IFERROR(__xludf.DUMMYFUNCTION("LET(
  words, TRANSPOSE(SPLIT($C617,""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mga bata ay nasa")</f>
        <v>ang mga bata ay nasa</v>
      </c>
      <c r="E617" s="3" t="str">
        <f>IFERROR(__xludf.DUMMYFUNCTION("INDEX(SPLIT($C617,"" ""), ROW()-ROW($E$564)+1)
"),"bata")</f>
        <v>bata</v>
      </c>
      <c r="F617" s="30" t="s">
        <v>16</v>
      </c>
      <c r="G617" s="2"/>
      <c r="H617" s="1" t="s">
        <v>0</v>
      </c>
      <c r="I617" s="2"/>
      <c r="J617" s="2"/>
      <c r="K617" s="1" t="s">
        <v>15</v>
      </c>
    </row>
    <row r="618" ht="15.75" customHeight="1">
      <c r="A618" s="1">
        <v>617.0</v>
      </c>
      <c r="B618" s="1">
        <v>16.0</v>
      </c>
      <c r="C618" s="4" t="s">
        <v>39</v>
      </c>
      <c r="D618" s="5" t="str">
        <f>IFERROR(__xludf.DUMMYFUNCTION("LET(
  words, TRANSPOSE(SPLIT($C618,""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)"),"mga bata ay nasa eskwelahan")</f>
        <v>mga bata ay nasa eskwelahan</v>
      </c>
      <c r="E618" s="3" t="str">
        <f>IFERROR(__xludf.DUMMYFUNCTION("INDEX(SPLIT($C618,"" ""), ROW()-ROW($E$564)+1)
"),"ay")</f>
        <v>ay</v>
      </c>
      <c r="F618" s="30" t="s">
        <v>16</v>
      </c>
      <c r="G618" s="2"/>
      <c r="H618" s="1" t="s">
        <v>0</v>
      </c>
      <c r="I618" s="2"/>
      <c r="J618" s="2"/>
      <c r="K618" s="1" t="s">
        <v>15</v>
      </c>
    </row>
    <row r="619" ht="15.75" customHeight="1">
      <c r="A619" s="1">
        <v>618.0</v>
      </c>
      <c r="B619" s="1">
        <v>16.0</v>
      </c>
      <c r="C619" s="4" t="s">
        <v>39</v>
      </c>
      <c r="D619" s="5" t="str">
        <f>IFERROR(__xludf.DUMMYFUNCTION("LET(
  words, TRANSPOSE(SPLIT($C619,""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)"),"bata ay nasa eskwelahan kapag")</f>
        <v>bata ay nasa eskwelahan kapag</v>
      </c>
      <c r="E619" s="3" t="str">
        <f>IFERROR(__xludf.DUMMYFUNCTION("INDEX(SPLIT($C619,"" ""), ROW()-ROW($E$564)+1)
"),"nasa")</f>
        <v>nasa</v>
      </c>
      <c r="F619" s="30" t="s">
        <v>16</v>
      </c>
      <c r="G619" s="2"/>
      <c r="H619" s="1" t="s">
        <v>0</v>
      </c>
      <c r="I619" s="2"/>
      <c r="J619" s="2"/>
      <c r="K619" s="1" t="s">
        <v>15</v>
      </c>
    </row>
    <row r="620" ht="15.75" customHeight="1">
      <c r="A620" s="1">
        <v>619.0</v>
      </c>
      <c r="B620" s="1">
        <v>16.0</v>
      </c>
      <c r="C620" s="4" t="s">
        <v>39</v>
      </c>
      <c r="D620" s="5" t="str">
        <f>IFERROR(__xludf.DUMMYFUNCTION("LET(
  words, TRANSPOSE(SPLIT($C620,""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)"),"ay nasa eskwelahan kapag lumindol")</f>
        <v>ay nasa eskwelahan kapag lumindol</v>
      </c>
      <c r="E620" s="3" t="str">
        <f>IFERROR(__xludf.DUMMYFUNCTION("INDEX(SPLIT($C620,"" ""), ROW()-ROW($E$564)+1)
"),"eskwelahan")</f>
        <v>eskwelahan</v>
      </c>
      <c r="F620" s="30" t="s">
        <v>16</v>
      </c>
      <c r="G620" s="2"/>
      <c r="H620" s="1" t="s">
        <v>0</v>
      </c>
      <c r="I620" s="2"/>
      <c r="J620" s="2"/>
      <c r="K620" s="1" t="s">
        <v>15</v>
      </c>
    </row>
    <row r="621" ht="15.75" customHeight="1">
      <c r="A621" s="1">
        <v>620.0</v>
      </c>
      <c r="B621" s="1">
        <v>16.0</v>
      </c>
      <c r="C621" s="4" t="s">
        <v>39</v>
      </c>
      <c r="D621" s="5" t="str">
        <f>IFERROR(__xludf.DUMMYFUNCTION("LET(
  words, TRANSPOSE(SPLIT($C621,""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)"),"nasa eskwelahan kapag lumindol at")</f>
        <v>nasa eskwelahan kapag lumindol at</v>
      </c>
      <c r="E621" s="3" t="str">
        <f>IFERROR(__xludf.DUMMYFUNCTION("INDEX(SPLIT($C621,"" ""), ROW()-ROW($E$564)+1)
"),"kapag")</f>
        <v>kapag</v>
      </c>
      <c r="F621" s="30" t="s">
        <v>16</v>
      </c>
      <c r="G621" s="2"/>
      <c r="H621" s="1" t="s">
        <v>0</v>
      </c>
      <c r="I621" s="2"/>
      <c r="J621" s="2"/>
      <c r="K621" s="1" t="s">
        <v>15</v>
      </c>
    </row>
    <row r="622" ht="15.75" customHeight="1">
      <c r="A622" s="1">
        <v>621.0</v>
      </c>
      <c r="B622" s="1">
        <v>16.0</v>
      </c>
      <c r="C622" s="4" t="s">
        <v>39</v>
      </c>
      <c r="D622" s="5" t="str">
        <f>IFERROR(__xludf.DUMMYFUNCTION("LET(
  words, TRANSPOSE(SPLIT($C622,""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)"),"eskwelahan kapag lumindol at base")</f>
        <v>eskwelahan kapag lumindol at base</v>
      </c>
      <c r="E622" s="3" t="str">
        <f>IFERROR(__xludf.DUMMYFUNCTION("INDEX(SPLIT($C622,"" ""), ROW()-ROW($E$564)+1)
"),"lumindol")</f>
        <v>lumindol</v>
      </c>
      <c r="F622" s="30" t="s">
        <v>16</v>
      </c>
      <c r="G622" s="2"/>
      <c r="H622" s="1" t="s">
        <v>0</v>
      </c>
      <c r="I622" s="2"/>
      <c r="J622" s="2"/>
      <c r="K622" s="1" t="s">
        <v>15</v>
      </c>
    </row>
    <row r="623" ht="15.75" customHeight="1">
      <c r="A623" s="1">
        <v>622.0</v>
      </c>
      <c r="B623" s="1">
        <v>16.0</v>
      </c>
      <c r="C623" s="4" t="s">
        <v>39</v>
      </c>
      <c r="D623" s="5" t="str">
        <f>IFERROR(__xludf.DUMMYFUNCTION("LET(
  words, TRANSPOSE(SPLIT($C623,""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)"),"kapag lumindol at base sa")</f>
        <v>kapag lumindol at base sa</v>
      </c>
      <c r="E623" s="3" t="str">
        <f>IFERROR(__xludf.DUMMYFUNCTION("INDEX(SPLIT($C623,"" ""), ROW()-ROW($E$564)+1)
"),"at")</f>
        <v>at</v>
      </c>
      <c r="F623" s="30" t="s">
        <v>16</v>
      </c>
      <c r="G623" s="2"/>
      <c r="H623" s="1" t="s">
        <v>0</v>
      </c>
      <c r="I623" s="2"/>
      <c r="J623" s="2"/>
      <c r="K623" s="1" t="s">
        <v>15</v>
      </c>
    </row>
    <row r="624" ht="15.75" customHeight="1">
      <c r="A624" s="1">
        <v>623.0</v>
      </c>
      <c r="B624" s="1">
        <v>16.0</v>
      </c>
      <c r="C624" s="4" t="s">
        <v>39</v>
      </c>
      <c r="D624" s="5" t="str">
        <f>IFERROR(__xludf.DUMMYFUNCTION("LET(
  words, TRANSPOSE(SPLIT($C624,""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)"),"lumindol at base sa resulta")</f>
        <v>lumindol at base sa resulta</v>
      </c>
      <c r="E624" s="3" t="str">
        <f>IFERROR(__xludf.DUMMYFUNCTION("INDEX(SPLIT($C624,"" ""), ROW()-ROW($E$564)+1)
"),"base")</f>
        <v>base</v>
      </c>
      <c r="F624" s="30" t="s">
        <v>16</v>
      </c>
      <c r="G624" s="2"/>
      <c r="H624" s="1" t="s">
        <v>0</v>
      </c>
      <c r="I624" s="2"/>
      <c r="J624" s="2"/>
      <c r="K624" s="1" t="s">
        <v>15</v>
      </c>
    </row>
    <row r="625" ht="15.75" customHeight="1">
      <c r="A625" s="1">
        <v>624.0</v>
      </c>
      <c r="B625" s="1">
        <v>16.0</v>
      </c>
      <c r="C625" s="4" t="s">
        <v>39</v>
      </c>
      <c r="D625" s="5" t="str">
        <f>IFERROR(__xludf.DUMMYFUNCTION("LET(
  words, TRANSPOSE(SPLIT($C625,""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)"),"at base sa resulta ng")</f>
        <v>at base sa resulta ng</v>
      </c>
      <c r="E625" s="3" t="str">
        <f>IFERROR(__xludf.DUMMYFUNCTION("INDEX(SPLIT($C625,"" ""), ROW()-ROW($E$564)+1)
"),"sa")</f>
        <v>sa</v>
      </c>
      <c r="F625" s="30" t="s">
        <v>16</v>
      </c>
      <c r="G625" s="2"/>
      <c r="H625" s="1" t="s">
        <v>0</v>
      </c>
      <c r="I625" s="2"/>
      <c r="J625" s="2"/>
      <c r="K625" s="1" t="s">
        <v>15</v>
      </c>
    </row>
    <row r="626" ht="15.75" customHeight="1">
      <c r="A626" s="1">
        <v>625.0</v>
      </c>
      <c r="B626" s="1">
        <v>16.0</v>
      </c>
      <c r="C626" s="4" t="s">
        <v>39</v>
      </c>
      <c r="D626" s="5" t="str">
        <f>IFERROR(__xludf.DUMMYFUNCTION("LET(
  words, TRANSPOSE(SPLIT($C626,""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)"),"base sa resulta ng konsultasyon")</f>
        <v>base sa resulta ng konsultasyon</v>
      </c>
      <c r="E626" s="3" t="str">
        <f>IFERROR(__xludf.DUMMYFUNCTION("INDEX(SPLIT($C626,"" ""), ROW()-ROW($E$564)+1)
"),"resulta")</f>
        <v>resulta</v>
      </c>
      <c r="F626" s="30" t="s">
        <v>16</v>
      </c>
      <c r="G626" s="2"/>
      <c r="H626" s="1" t="s">
        <v>0</v>
      </c>
      <c r="I626" s="2"/>
      <c r="J626" s="2"/>
      <c r="K626" s="1" t="s">
        <v>15</v>
      </c>
    </row>
    <row r="627" ht="15.75" customHeight="1">
      <c r="A627" s="1">
        <v>626.0</v>
      </c>
      <c r="B627" s="1">
        <v>16.0</v>
      </c>
      <c r="C627" s="4" t="s">
        <v>39</v>
      </c>
      <c r="D627" s="5" t="str">
        <f>IFERROR(__xludf.DUMMYFUNCTION("LET(
  words, TRANSPOSE(SPLIT($C627,""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resulta ng konsultasyon mas")</f>
        <v>sa resulta ng konsultasyon mas</v>
      </c>
      <c r="E627" s="3" t="str">
        <f>IFERROR(__xludf.DUMMYFUNCTION("INDEX(SPLIT($C627,"" ""), ROW()-ROW($E$564)+1)
"),"ng")</f>
        <v>ng</v>
      </c>
      <c r="F627" s="30" t="s">
        <v>16</v>
      </c>
      <c r="G627" s="2"/>
      <c r="H627" s="1" t="s">
        <v>0</v>
      </c>
      <c r="I627" s="2"/>
      <c r="J627" s="2"/>
      <c r="K627" s="1" t="s">
        <v>15</v>
      </c>
    </row>
    <row r="628" ht="15.75" customHeight="1">
      <c r="A628" s="1">
        <v>627.0</v>
      </c>
      <c r="B628" s="1">
        <v>16.0</v>
      </c>
      <c r="C628" s="4" t="s">
        <v>39</v>
      </c>
      <c r="D628" s="5" t="str">
        <f>IFERROR(__xludf.DUMMYFUNCTION("LET(
  words, TRANSPOSE(SPLIT($C628,""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)"),"resulta ng konsultasyon mas minabuti")</f>
        <v>resulta ng konsultasyon mas minabuti</v>
      </c>
      <c r="E628" s="3" t="str">
        <f>IFERROR(__xludf.DUMMYFUNCTION("INDEX(SPLIT($C628,"" ""), ROW()-ROW($E$564)+1)
"),"konsultasyon")</f>
        <v>konsultasyon</v>
      </c>
      <c r="F628" s="30" t="s">
        <v>16</v>
      </c>
      <c r="G628" s="2"/>
      <c r="H628" s="1" t="s">
        <v>0</v>
      </c>
      <c r="I628" s="2"/>
      <c r="J628" s="2"/>
      <c r="K628" s="1" t="s">
        <v>15</v>
      </c>
    </row>
    <row r="629" ht="15.75" customHeight="1">
      <c r="A629" s="1">
        <v>628.0</v>
      </c>
      <c r="B629" s="1">
        <v>16.0</v>
      </c>
      <c r="C629" s="4" t="s">
        <v>39</v>
      </c>
      <c r="D629" s="5" t="str">
        <f>IFERROR(__xludf.DUMMYFUNCTION("LET(
  words, TRANSPOSE(SPLIT($C629,""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)"),"ng konsultasyon mas minabuti namin")</f>
        <v>ng konsultasyon mas minabuti namin</v>
      </c>
      <c r="E629" s="3" t="str">
        <f>IFERROR(__xludf.DUMMYFUNCTION("INDEX(SPLIT($C629,"" ""), ROW()-ROW($E$564)+1)
"),"mas")</f>
        <v>mas</v>
      </c>
      <c r="F629" s="30" t="s">
        <v>16</v>
      </c>
      <c r="G629" s="2"/>
      <c r="H629" s="1" t="s">
        <v>0</v>
      </c>
      <c r="I629" s="2"/>
      <c r="J629" s="2"/>
      <c r="K629" s="1" t="s">
        <v>15</v>
      </c>
    </row>
    <row r="630" ht="15.75" customHeight="1">
      <c r="A630" s="1">
        <v>629.0</v>
      </c>
      <c r="B630" s="1">
        <v>16.0</v>
      </c>
      <c r="C630" s="4" t="s">
        <v>39</v>
      </c>
      <c r="D630" s="5" t="str">
        <f>IFERROR(__xludf.DUMMYFUNCTION("LET(
  words, TRANSPOSE(SPLIT($C630,""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)"),"konsultasyon mas minabuti namin na")</f>
        <v>konsultasyon mas minabuti namin na</v>
      </c>
      <c r="E630" s="3" t="str">
        <f>IFERROR(__xludf.DUMMYFUNCTION("INDEX(SPLIT($C630,"" ""), ROW()-ROW($E$564)+1)
"),"minabuti")</f>
        <v>minabuti</v>
      </c>
      <c r="F630" s="30" t="s">
        <v>16</v>
      </c>
      <c r="G630" s="2"/>
      <c r="H630" s="1" t="s">
        <v>0</v>
      </c>
      <c r="I630" s="2"/>
      <c r="J630" s="2"/>
      <c r="K630" s="1" t="s">
        <v>15</v>
      </c>
    </row>
    <row r="631" ht="15.75" customHeight="1">
      <c r="A631" s="1">
        <v>630.0</v>
      </c>
      <c r="B631" s="1">
        <v>16.0</v>
      </c>
      <c r="C631" s="4" t="s">
        <v>39</v>
      </c>
      <c r="D631" s="5" t="str">
        <f>IFERROR(__xludf.DUMMYFUNCTION("LET(
  words, TRANSPOSE(SPLIT($C631,""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)"),"mas minabuti namin na suspendihin")</f>
        <v>mas minabuti namin na suspendihin</v>
      </c>
      <c r="E631" s="3" t="str">
        <f>IFERROR(__xludf.DUMMYFUNCTION("INDEX(SPLIT($C631,"" ""), ROW()-ROW($E$564)+1)
"),"namin")</f>
        <v>namin</v>
      </c>
      <c r="F631" s="30" t="s">
        <v>16</v>
      </c>
      <c r="G631" s="2"/>
      <c r="H631" s="1" t="s">
        <v>0</v>
      </c>
      <c r="I631" s="2"/>
      <c r="J631" s="2"/>
      <c r="K631" s="1" t="s">
        <v>15</v>
      </c>
    </row>
    <row r="632" ht="15.75" customHeight="1">
      <c r="A632" s="1">
        <v>631.0</v>
      </c>
      <c r="B632" s="1">
        <v>16.0</v>
      </c>
      <c r="C632" s="4" t="s">
        <v>39</v>
      </c>
      <c r="D632" s="5" t="str">
        <f>IFERROR(__xludf.DUMMYFUNCTION("LET(
  words, TRANSPOSE(SPLIT($C632,""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)"),"minabuti namin na suspendihin ang")</f>
        <v>minabuti namin na suspendihin ang</v>
      </c>
      <c r="E632" s="3" t="str">
        <f>IFERROR(__xludf.DUMMYFUNCTION("INDEX(SPLIT($C632,"" ""), ROW()-ROW($E$564)+1)
"),"na")</f>
        <v>na</v>
      </c>
      <c r="F632" s="30" t="s">
        <v>16</v>
      </c>
      <c r="G632" s="2"/>
      <c r="H632" s="1" t="s">
        <v>0</v>
      </c>
      <c r="I632" s="2"/>
      <c r="J632" s="2"/>
      <c r="K632" s="1" t="s">
        <v>15</v>
      </c>
    </row>
    <row r="633" ht="15.75" customHeight="1">
      <c r="A633" s="1">
        <v>632.0</v>
      </c>
      <c r="B633" s="1">
        <v>16.0</v>
      </c>
      <c r="C633" s="4" t="s">
        <v>39</v>
      </c>
      <c r="D633" s="5" t="str">
        <f>IFERROR(__xludf.DUMMYFUNCTION("LET(
  words, TRANSPOSE(SPLIT($C633,""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)"),"namin na suspendihin ang face-to-face")</f>
        <v>namin na suspendihin ang face-to-face</v>
      </c>
      <c r="E633" s="3" t="str">
        <f>IFERROR(__xludf.DUMMYFUNCTION("INDEX(SPLIT($C633,"" ""), ROW()-ROW($E$564)+1)
"),"suspendihin")</f>
        <v>suspendihin</v>
      </c>
      <c r="F633" s="30" t="s">
        <v>16</v>
      </c>
      <c r="G633" s="2"/>
      <c r="H633" s="1" t="s">
        <v>0</v>
      </c>
      <c r="I633" s="2"/>
      <c r="J633" s="2"/>
      <c r="K633" s="1" t="s">
        <v>15</v>
      </c>
    </row>
    <row r="634" ht="15.75" customHeight="1">
      <c r="A634" s="1">
        <v>633.0</v>
      </c>
      <c r="B634" s="1">
        <v>16.0</v>
      </c>
      <c r="C634" s="4" t="s">
        <v>39</v>
      </c>
      <c r="D634" s="5" t="str">
        <f>IFERROR(__xludf.DUMMYFUNCTION("LET(
  words, TRANSPOSE(SPLIT($C634,""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suspendihin ang face-to-face classes")</f>
        <v>na suspendihin ang face-to-face classes</v>
      </c>
      <c r="E634" s="3" t="str">
        <f>IFERROR(__xludf.DUMMYFUNCTION("INDEX(SPLIT($C634,"" ""), ROW()-ROW($E$564)+1)
"),"ang")</f>
        <v>ang</v>
      </c>
      <c r="F634" s="30" t="s">
        <v>16</v>
      </c>
      <c r="G634" s="2"/>
      <c r="H634" s="1" t="s">
        <v>0</v>
      </c>
      <c r="I634" s="2"/>
      <c r="J634" s="2"/>
      <c r="K634" s="1" t="s">
        <v>15</v>
      </c>
    </row>
    <row r="635" ht="15.75" customHeight="1">
      <c r="A635" s="1">
        <v>634.0</v>
      </c>
      <c r="B635" s="1">
        <v>16.0</v>
      </c>
      <c r="C635" s="4" t="s">
        <v>39</v>
      </c>
      <c r="D635" s="5" t="str">
        <f>IFERROR(__xludf.DUMMYFUNCTION("LET(
  words, TRANSPOSE(SPLIT($C635,""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)"),"suspendihin ang face-to-face classes .")</f>
        <v>suspendihin ang face-to-face classes .</v>
      </c>
      <c r="E635" s="3" t="str">
        <f>IFERROR(__xludf.DUMMYFUNCTION("INDEX(SPLIT($C635,"" ""), ROW()-ROW($E$564)+1)
"),"face-to-face")</f>
        <v>face-to-face</v>
      </c>
      <c r="F635" s="30" t="s">
        <v>18</v>
      </c>
      <c r="G635" s="2"/>
      <c r="H635" s="1" t="s">
        <v>0</v>
      </c>
      <c r="I635" s="2"/>
      <c r="J635" s="2"/>
      <c r="K635" s="1" t="s">
        <v>15</v>
      </c>
    </row>
    <row r="636" ht="15.75" customHeight="1">
      <c r="A636" s="1">
        <v>635.0</v>
      </c>
      <c r="B636" s="1">
        <v>16.0</v>
      </c>
      <c r="C636" s="4" t="s">
        <v>39</v>
      </c>
      <c r="D636" s="5" t="str">
        <f>IFERROR(__xludf.DUMMYFUNCTION("LET(
  words, TRANSPOSE(SPLIT($C636,""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face-to-face classes .")</f>
        <v>ang face-to-face classes .</v>
      </c>
      <c r="E636" s="3" t="str">
        <f>IFERROR(__xludf.DUMMYFUNCTION("INDEX(SPLIT($C636,"" ""), ROW()-ROW($E$564)+1)
"),"classes")</f>
        <v>classes</v>
      </c>
      <c r="F636" s="30" t="s">
        <v>18</v>
      </c>
      <c r="G636" s="2"/>
      <c r="H636" s="1" t="s">
        <v>0</v>
      </c>
      <c r="I636" s="2"/>
      <c r="J636" s="2"/>
      <c r="K636" s="1" t="s">
        <v>15</v>
      </c>
    </row>
    <row r="637" ht="15.75" customHeight="1">
      <c r="A637" s="10">
        <v>636.0</v>
      </c>
      <c r="B637" s="10">
        <v>16.0</v>
      </c>
      <c r="C637" s="7" t="s">
        <v>39</v>
      </c>
      <c r="D637" s="8" t="str">
        <f>IFERROR(__xludf.DUMMYFUNCTION("LET(
  words, TRANSPOSE(SPLIT($C637,"" "")),
  n, ROWS(words),
  i, ROW() - ROW($D$564)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)"),"face-to-face classes .")</f>
        <v>face-to-face classes .</v>
      </c>
      <c r="E637" s="9" t="str">
        <f>IFERROR(__xludf.DUMMYFUNCTION("INDEX(SPLIT($C637,"" ""), ROW()-ROW($E$564)+1)
"),".")</f>
        <v>.</v>
      </c>
      <c r="F637" s="32" t="s">
        <v>17</v>
      </c>
      <c r="G637" s="6"/>
      <c r="H637" s="10" t="s">
        <v>0</v>
      </c>
      <c r="I637" s="6"/>
      <c r="J637" s="6"/>
      <c r="K637" s="10" t="s">
        <v>15</v>
      </c>
      <c r="L637" s="6"/>
    </row>
    <row r="638" ht="15.75" customHeight="1">
      <c r="A638" s="1">
        <v>637.0</v>
      </c>
      <c r="B638" s="1">
        <v>17.0</v>
      </c>
      <c r="C638" s="4" t="s">
        <v>40</v>
      </c>
      <c r="D638" s="5" t="str">
        <f>IFERROR(__xludf.DUMMYFUNCTION("LET(
  words, TRANSPOSE(SPLIT($C638,""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)"),"Hello po Hiraya")</f>
        <v>Hello po Hiraya</v>
      </c>
      <c r="E638" s="3" t="str">
        <f>IFERROR(__xludf.DUMMYFUNCTION("INDEX(SPLIT($C638,"" ""), ROW()-ROW($E$638)+1)
"),"Hello")</f>
        <v>Hello</v>
      </c>
      <c r="F638" s="30" t="s">
        <v>18</v>
      </c>
      <c r="G638" s="2"/>
      <c r="H638" s="1" t="s">
        <v>0</v>
      </c>
      <c r="I638" s="2"/>
      <c r="J638" s="2"/>
      <c r="K638" s="1" t="s">
        <v>15</v>
      </c>
    </row>
    <row r="639" ht="15.75" customHeight="1">
      <c r="A639" s="1">
        <v>638.0</v>
      </c>
      <c r="B639" s="1">
        <v>17.0</v>
      </c>
      <c r="C639" s="4" t="s">
        <v>40</v>
      </c>
      <c r="D639" s="5" t="str">
        <f>IFERROR(__xludf.DUMMYFUNCTION("LET(
  words, TRANSPOSE(SPLIT($C639,""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)"),"Hello po Hiraya !")</f>
        <v>Hello po Hiraya !</v>
      </c>
      <c r="E639" s="3" t="str">
        <f>IFERROR(__xludf.DUMMYFUNCTION("INDEX(SPLIT($C639,"" ""), ROW()-ROW($E$638)+1)
"),"po")</f>
        <v>po</v>
      </c>
      <c r="F639" s="30" t="s">
        <v>16</v>
      </c>
      <c r="G639" s="2"/>
      <c r="H639" s="1" t="s">
        <v>0</v>
      </c>
      <c r="I639" s="2"/>
      <c r="J639" s="2"/>
      <c r="K639" s="1" t="s">
        <v>15</v>
      </c>
    </row>
    <row r="640" ht="15.75" customHeight="1">
      <c r="A640" s="1">
        <v>639.0</v>
      </c>
      <c r="B640" s="1">
        <v>17.0</v>
      </c>
      <c r="C640" s="4" t="s">
        <v>40</v>
      </c>
      <c r="D640" s="5" t="str">
        <f>IFERROR(__xludf.DUMMYFUNCTION("LET(
  words, TRANSPOSE(SPLIT($C640,""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)"),"Hello po Hiraya ! Kami")</f>
        <v>Hello po Hiraya ! Kami</v>
      </c>
      <c r="E640" s="3" t="str">
        <f>IFERROR(__xludf.DUMMYFUNCTION("INDEX(SPLIT($C640,"" ""), ROW()-ROW($E$638)+1)
"),"Hiraya")</f>
        <v>Hiraya</v>
      </c>
      <c r="F640" s="30" t="s">
        <v>13</v>
      </c>
      <c r="G640" s="1" t="s">
        <v>28</v>
      </c>
      <c r="H640" s="1" t="s">
        <v>0</v>
      </c>
      <c r="I640" s="2"/>
      <c r="J640" s="2"/>
      <c r="K640" s="1" t="s">
        <v>15</v>
      </c>
    </row>
    <row r="641" ht="15.75" customHeight="1">
      <c r="A641" s="1">
        <v>640.0</v>
      </c>
      <c r="B641" s="1">
        <v>17.0</v>
      </c>
      <c r="C641" s="4" t="s">
        <v>40</v>
      </c>
      <c r="D641" s="5" t="str">
        <f>IFERROR(__xludf.DUMMYFUNCTION("LET(
  words, TRANSPOSE(SPLIT($C641,""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 Hiraya ! Kami ang")</f>
        <v>po Hiraya ! Kami ang</v>
      </c>
      <c r="E641" s="3" t="str">
        <f>IFERROR(__xludf.DUMMYFUNCTION("INDEX(SPLIT($C641,"" ""), ROW()-ROW($E$638)+1)
"),"!")</f>
        <v>!</v>
      </c>
      <c r="F641" s="30" t="s">
        <v>17</v>
      </c>
      <c r="G641" s="2"/>
      <c r="H641" s="1" t="s">
        <v>0</v>
      </c>
      <c r="I641" s="2"/>
      <c r="J641" s="2"/>
      <c r="K641" s="1" t="s">
        <v>15</v>
      </c>
    </row>
    <row r="642" ht="15.75" customHeight="1">
      <c r="A642" s="1">
        <v>641.0</v>
      </c>
      <c r="B642" s="1">
        <v>17.0</v>
      </c>
      <c r="C642" s="4" t="s">
        <v>40</v>
      </c>
      <c r="D642" s="5" t="str">
        <f>IFERROR(__xludf.DUMMYFUNCTION("LET(
  words, TRANSPOSE(SPLIT($C642,""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)"),"Hiraya ! Kami ang Group")</f>
        <v>Hiraya ! Kami ang Group</v>
      </c>
      <c r="E642" s="3" t="str">
        <f>IFERROR(__xludf.DUMMYFUNCTION("INDEX(SPLIT($C642,"" ""), ROW()-ROW($E$638)+1)
"),"Kami")</f>
        <v>Kami</v>
      </c>
      <c r="F642" s="30" t="s">
        <v>16</v>
      </c>
      <c r="G642" s="2"/>
      <c r="H642" s="1" t="s">
        <v>0</v>
      </c>
      <c r="I642" s="2"/>
      <c r="J642" s="2"/>
      <c r="K642" s="1" t="s">
        <v>15</v>
      </c>
    </row>
    <row r="643" ht="15.75" customHeight="1">
      <c r="A643" s="1">
        <v>642.0</v>
      </c>
      <c r="B643" s="1">
        <v>17.0</v>
      </c>
      <c r="C643" s="4" t="s">
        <v>40</v>
      </c>
      <c r="D643" s="5" t="str">
        <f>IFERROR(__xludf.DUMMYFUNCTION("LET(
  words, TRANSPOSE(SPLIT($C643,""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)"),"! Kami ang Group 2")</f>
        <v>! Kami ang Group 2</v>
      </c>
      <c r="E643" s="3" t="str">
        <f>IFERROR(__xludf.DUMMYFUNCTION("INDEX(SPLIT($C643,"" ""), ROW()-ROW($E$638)+1)
"),"ang")</f>
        <v>ang</v>
      </c>
      <c r="F643" s="30" t="s">
        <v>16</v>
      </c>
      <c r="G643" s="2"/>
      <c r="H643" s="1" t="s">
        <v>0</v>
      </c>
      <c r="I643" s="2"/>
      <c r="J643" s="2"/>
      <c r="K643" s="1" t="s">
        <v>15</v>
      </c>
    </row>
    <row r="644" ht="15.75" customHeight="1">
      <c r="A644" s="1">
        <v>643.0</v>
      </c>
      <c r="B644" s="1">
        <v>17.0</v>
      </c>
      <c r="C644" s="4" t="s">
        <v>40</v>
      </c>
      <c r="D644" s="5" t="str">
        <f>IFERROR(__xludf.DUMMYFUNCTION("LET(
  words, TRANSPOSE(SPLIT($C644,""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)"),"Kami ang Group 2 ng")</f>
        <v>Kami ang Group 2 ng</v>
      </c>
      <c r="E644" s="3" t="str">
        <f>IFERROR(__xludf.DUMMYFUNCTION("INDEX(SPLIT($C644,"" ""), ROW()-ROW($E$638)+1)
"),"Group")</f>
        <v>Group</v>
      </c>
      <c r="F644" s="30" t="s">
        <v>18</v>
      </c>
      <c r="G644" s="2"/>
      <c r="H644" s="1" t="s">
        <v>0</v>
      </c>
      <c r="I644" s="2"/>
      <c r="J644" s="2"/>
      <c r="K644" s="1" t="s">
        <v>15</v>
      </c>
    </row>
    <row r="645" ht="15.75" customHeight="1">
      <c r="A645" s="1">
        <v>644.0</v>
      </c>
      <c r="B645" s="1">
        <v>17.0</v>
      </c>
      <c r="C645" s="4" t="s">
        <v>40</v>
      </c>
      <c r="D645" s="5" t="str">
        <f>IFERROR(__xludf.DUMMYFUNCTION("LET(
  words, TRANSPOSE(SPLIT($C645,""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Group 2 ng Einstein")</f>
        <v>ang Group 2 ng Einstein</v>
      </c>
      <c r="E645" s="3">
        <f>IFERROR(__xludf.DUMMYFUNCTION("INDEX(SPLIT($C645,"" ""), ROW()-ROW($E$638)+1)
"),2.0)</f>
        <v>2</v>
      </c>
      <c r="F645" s="30" t="s">
        <v>25</v>
      </c>
      <c r="G645" s="2"/>
      <c r="H645" s="1" t="s">
        <v>0</v>
      </c>
      <c r="I645" s="2"/>
      <c r="J645" s="2"/>
      <c r="K645" s="1" t="s">
        <v>15</v>
      </c>
    </row>
    <row r="646" ht="15.75" customHeight="1">
      <c r="A646" s="1">
        <v>645.0</v>
      </c>
      <c r="B646" s="1">
        <v>17.0</v>
      </c>
      <c r="C646" s="4" t="s">
        <v>40</v>
      </c>
      <c r="D646" s="5" t="str">
        <f>IFERROR(__xludf.DUMMYFUNCTION("LET(
  words, TRANSPOSE(SPLIT($C646,""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)"),"Group 2 ng Einstein at")</f>
        <v>Group 2 ng Einstein at</v>
      </c>
      <c r="E646" s="3" t="str">
        <f>IFERROR(__xludf.DUMMYFUNCTION("INDEX(SPLIT($C646,"" ""), ROW()-ROW($E$638)+1)
"),"ng")</f>
        <v>ng</v>
      </c>
      <c r="F646" s="30" t="s">
        <v>16</v>
      </c>
      <c r="G646" s="2"/>
      <c r="H646" s="1" t="s">
        <v>0</v>
      </c>
      <c r="I646" s="2"/>
      <c r="J646" s="2"/>
      <c r="K646" s="1" t="s">
        <v>15</v>
      </c>
    </row>
    <row r="647" ht="15.75" customHeight="1">
      <c r="A647" s="1">
        <v>646.0</v>
      </c>
      <c r="B647" s="1">
        <v>17.0</v>
      </c>
      <c r="C647" s="4" t="s">
        <v>40</v>
      </c>
      <c r="D647" s="5" t="str">
        <f>IFERROR(__xludf.DUMMYFUNCTION("LET(
  words, TRANSPOSE(SPLIT($C647,""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)"),"2 ng Einstein at kung")</f>
        <v>2 ng Einstein at kung</v>
      </c>
      <c r="E647" s="3" t="str">
        <f>IFERROR(__xludf.DUMMYFUNCTION("INDEX(SPLIT($C647,"" ""), ROW()-ROW($E$638)+1)
"),"Einstein")</f>
        <v>Einstein</v>
      </c>
      <c r="F647" s="30" t="s">
        <v>13</v>
      </c>
      <c r="G647" s="1" t="s">
        <v>28</v>
      </c>
      <c r="H647" s="1" t="s">
        <v>0</v>
      </c>
      <c r="I647" s="2"/>
      <c r="J647" s="2"/>
      <c r="K647" s="1" t="s">
        <v>15</v>
      </c>
    </row>
    <row r="648" ht="15.75" customHeight="1">
      <c r="A648" s="1">
        <v>647.0</v>
      </c>
      <c r="B648" s="1">
        <v>17.0</v>
      </c>
      <c r="C648" s="4" t="s">
        <v>40</v>
      </c>
      <c r="D648" s="5" t="str">
        <f>IFERROR(__xludf.DUMMYFUNCTION("LET(
  words, TRANSPOSE(SPLIT($C648,""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)"),"ng Einstein at kung meron")</f>
        <v>ng Einstein at kung meron</v>
      </c>
      <c r="E648" s="3" t="str">
        <f>IFERROR(__xludf.DUMMYFUNCTION("INDEX(SPLIT($C648,"" ""), ROW()-ROW($E$638)+1)
"),"at")</f>
        <v>at</v>
      </c>
      <c r="F648" s="30" t="s">
        <v>16</v>
      </c>
      <c r="G648" s="2"/>
      <c r="H648" s="1" t="s">
        <v>0</v>
      </c>
      <c r="I648" s="2"/>
      <c r="J648" s="2"/>
      <c r="K648" s="1" t="s">
        <v>15</v>
      </c>
    </row>
    <row r="649" ht="15.75" customHeight="1">
      <c r="A649" s="1">
        <v>648.0</v>
      </c>
      <c r="B649" s="1">
        <v>17.0</v>
      </c>
      <c r="C649" s="4" t="s">
        <v>40</v>
      </c>
      <c r="D649" s="5" t="str">
        <f>IFERROR(__xludf.DUMMYFUNCTION("LET(
  words, TRANSPOSE(SPLIT($C649,""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)"),"Einstein at kung meron po")</f>
        <v>Einstein at kung meron po</v>
      </c>
      <c r="E649" s="3" t="str">
        <f>IFERROR(__xludf.DUMMYFUNCTION("INDEX(SPLIT($C649,"" ""), ROW()-ROW($E$638)+1)
"),"kung")</f>
        <v>kung</v>
      </c>
      <c r="F649" s="30" t="s">
        <v>16</v>
      </c>
      <c r="G649" s="2"/>
      <c r="H649" s="1" t="s">
        <v>0</v>
      </c>
      <c r="I649" s="2"/>
      <c r="J649" s="2"/>
      <c r="K649" s="1" t="s">
        <v>15</v>
      </c>
    </row>
    <row r="650" ht="15.75" customHeight="1">
      <c r="A650" s="1">
        <v>649.0</v>
      </c>
      <c r="B650" s="1">
        <v>17.0</v>
      </c>
      <c r="C650" s="4" t="s">
        <v>40</v>
      </c>
      <c r="D650" s="5" t="str">
        <f>IFERROR(__xludf.DUMMYFUNCTION("LET(
  words, TRANSPOSE(SPLIT($C650,""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)"),"at kung meron po kayong")</f>
        <v>at kung meron po kayong</v>
      </c>
      <c r="E650" s="3" t="str">
        <f>IFERROR(__xludf.DUMMYFUNCTION("INDEX(SPLIT($C650,"" ""), ROW()-ROW($E$638)+1)
"),"meron")</f>
        <v>meron</v>
      </c>
      <c r="F650" s="30" t="s">
        <v>16</v>
      </c>
      <c r="G650" s="2"/>
      <c r="H650" s="1" t="s">
        <v>0</v>
      </c>
      <c r="I650" s="2"/>
      <c r="J650" s="2"/>
      <c r="K650" s="1" t="s">
        <v>15</v>
      </c>
    </row>
    <row r="651" ht="15.75" customHeight="1">
      <c r="A651" s="1">
        <v>650.0</v>
      </c>
      <c r="B651" s="1">
        <v>17.0</v>
      </c>
      <c r="C651" s="4" t="s">
        <v>40</v>
      </c>
      <c r="D651" s="5" t="str">
        <f>IFERROR(__xludf.DUMMYFUNCTION("LET(
  words, TRANSPOSE(SPLIT($C651,""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)"),"kung meron po kayong spare")</f>
        <v>kung meron po kayong spare</v>
      </c>
      <c r="E651" s="3" t="str">
        <f>IFERROR(__xludf.DUMMYFUNCTION("INDEX(SPLIT($C651,"" ""), ROW()-ROW($E$638)+1)
"),"po")</f>
        <v>po</v>
      </c>
      <c r="F651" s="30" t="s">
        <v>16</v>
      </c>
      <c r="G651" s="2"/>
      <c r="H651" s="1" t="s">
        <v>0</v>
      </c>
      <c r="I651" s="2"/>
      <c r="J651" s="2"/>
      <c r="K651" s="1" t="s">
        <v>15</v>
      </c>
    </row>
    <row r="652" ht="15.75" customHeight="1">
      <c r="A652" s="1">
        <v>651.0</v>
      </c>
      <c r="B652" s="1">
        <v>17.0</v>
      </c>
      <c r="C652" s="4" t="s">
        <v>40</v>
      </c>
      <c r="D652" s="5" t="str">
        <f>IFERROR(__xludf.DUMMYFUNCTION("LET(
  words, TRANSPOSE(SPLIT($C652,""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)"),"meron po kayong spare time")</f>
        <v>meron po kayong spare time</v>
      </c>
      <c r="E652" s="3" t="str">
        <f>IFERROR(__xludf.DUMMYFUNCTION("INDEX(SPLIT($C652,"" ""), ROW()-ROW($E$638)+1)
"),"kayong")</f>
        <v>kayong</v>
      </c>
      <c r="F652" s="30" t="s">
        <v>16</v>
      </c>
      <c r="G652" s="2"/>
      <c r="H652" s="1" t="s">
        <v>0</v>
      </c>
      <c r="I652" s="2"/>
      <c r="J652" s="2"/>
      <c r="K652" s="1" t="s">
        <v>15</v>
      </c>
    </row>
    <row r="653" ht="15.75" customHeight="1">
      <c r="A653" s="1">
        <v>652.0</v>
      </c>
      <c r="B653" s="1">
        <v>17.0</v>
      </c>
      <c r="C653" s="4" t="s">
        <v>40</v>
      </c>
      <c r="D653" s="5" t="str">
        <f>IFERROR(__xludf.DUMMYFUNCTION("LET(
  words, TRANSPOSE(SPLIT($C653,""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 kayong spare time para")</f>
        <v>po kayong spare time para</v>
      </c>
      <c r="E653" s="3" t="str">
        <f>IFERROR(__xludf.DUMMYFUNCTION("INDEX(SPLIT($C653,"" ""), ROW()-ROW($E$638)+1)
"),"spare")</f>
        <v>spare</v>
      </c>
      <c r="F653" s="30" t="s">
        <v>18</v>
      </c>
      <c r="G653" s="2"/>
      <c r="H653" s="1" t="s">
        <v>0</v>
      </c>
      <c r="I653" s="2"/>
      <c r="J653" s="2"/>
      <c r="K653" s="1" t="s">
        <v>15</v>
      </c>
    </row>
    <row r="654" ht="15.75" customHeight="1">
      <c r="A654" s="1">
        <v>653.0</v>
      </c>
      <c r="B654" s="1">
        <v>17.0</v>
      </c>
      <c r="C654" s="4" t="s">
        <v>40</v>
      </c>
      <c r="D654" s="5" t="str">
        <f>IFERROR(__xludf.DUMMYFUNCTION("LET(
  words, TRANSPOSE(SPLIT($C654,""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)"),"kayong spare time para sagutan")</f>
        <v>kayong spare time para sagutan</v>
      </c>
      <c r="E654" s="3" t="str">
        <f>IFERROR(__xludf.DUMMYFUNCTION("INDEX(SPLIT($C654,"" ""), ROW()-ROW($E$638)+1)
"),"time")</f>
        <v>time</v>
      </c>
      <c r="F654" s="30" t="s">
        <v>18</v>
      </c>
      <c r="G654" s="2"/>
      <c r="H654" s="1" t="s">
        <v>0</v>
      </c>
      <c r="I654" s="2"/>
      <c r="J654" s="2"/>
      <c r="K654" s="1" t="s">
        <v>15</v>
      </c>
    </row>
    <row r="655" ht="15.75" customHeight="1">
      <c r="A655" s="1">
        <v>654.0</v>
      </c>
      <c r="B655" s="1">
        <v>17.0</v>
      </c>
      <c r="C655" s="4" t="s">
        <v>40</v>
      </c>
      <c r="D655" s="5" t="str">
        <f>IFERROR(__xludf.DUMMYFUNCTION("LET(
  words, TRANSPOSE(SPLIT($C655,""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)"),"spare time para sagutan yung")</f>
        <v>spare time para sagutan yung</v>
      </c>
      <c r="E655" s="3" t="str">
        <f>IFERROR(__xludf.DUMMYFUNCTION("INDEX(SPLIT($C655,"" ""), ROW()-ROW($E$638)+1)
"),"para")</f>
        <v>para</v>
      </c>
      <c r="F655" s="30" t="s">
        <v>16</v>
      </c>
      <c r="G655" s="2"/>
      <c r="H655" s="1" t="s">
        <v>0</v>
      </c>
      <c r="I655" s="2"/>
      <c r="J655" s="2"/>
      <c r="K655" s="1" t="s">
        <v>15</v>
      </c>
    </row>
    <row r="656" ht="15.75" customHeight="1">
      <c r="A656" s="1">
        <v>655.0</v>
      </c>
      <c r="B656" s="1">
        <v>17.0</v>
      </c>
      <c r="C656" s="4" t="s">
        <v>40</v>
      </c>
      <c r="D656" s="5" t="str">
        <f>IFERROR(__xludf.DUMMYFUNCTION("LET(
  words, TRANSPOSE(SPLIT($C656,""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)"),"time para sagutan yung form")</f>
        <v>time para sagutan yung form</v>
      </c>
      <c r="E656" s="3" t="str">
        <f>IFERROR(__xludf.DUMMYFUNCTION("INDEX(SPLIT($C656,"" ""), ROW()-ROW($E$638)+1)
"),"sagutan")</f>
        <v>sagutan</v>
      </c>
      <c r="F656" s="30" t="s">
        <v>16</v>
      </c>
      <c r="G656" s="2"/>
      <c r="H656" s="1" t="s">
        <v>0</v>
      </c>
      <c r="I656" s="2"/>
      <c r="J656" s="2"/>
      <c r="K656" s="1" t="s">
        <v>15</v>
      </c>
    </row>
    <row r="657" ht="15.75" customHeight="1">
      <c r="A657" s="1">
        <v>656.0</v>
      </c>
      <c r="B657" s="1">
        <v>17.0</v>
      </c>
      <c r="C657" s="4" t="s">
        <v>40</v>
      </c>
      <c r="D657" s="5" t="str">
        <f>IFERROR(__xludf.DUMMYFUNCTION("LET(
  words, TRANSPOSE(SPLIT($C657,""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)"),"para sagutan yung form namin")</f>
        <v>para sagutan yung form namin</v>
      </c>
      <c r="E657" s="3" t="str">
        <f>IFERROR(__xludf.DUMMYFUNCTION("INDEX(SPLIT($C657,"" ""), ROW()-ROW($E$638)+1)
"),"yung")</f>
        <v>yung</v>
      </c>
      <c r="F657" s="30" t="s">
        <v>16</v>
      </c>
      <c r="G657" s="2"/>
      <c r="H657" s="1" t="s">
        <v>0</v>
      </c>
      <c r="I657" s="2"/>
      <c r="J657" s="2"/>
      <c r="K657" s="1" t="s">
        <v>15</v>
      </c>
    </row>
    <row r="658" ht="15.75" customHeight="1">
      <c r="A658" s="1">
        <v>657.0</v>
      </c>
      <c r="B658" s="1">
        <v>17.0</v>
      </c>
      <c r="C658" s="4" t="s">
        <v>40</v>
      </c>
      <c r="D658" s="5" t="str">
        <f>IFERROR(__xludf.DUMMYFUNCTION("LET(
  words, TRANSPOSE(SPLIT($C658,""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)"),"sagutan yung form namin para")</f>
        <v>sagutan yung form namin para</v>
      </c>
      <c r="E658" s="3" t="str">
        <f>IFERROR(__xludf.DUMMYFUNCTION("INDEX(SPLIT($C658,"" ""), ROW()-ROW($E$638)+1)
"),"form")</f>
        <v>form</v>
      </c>
      <c r="F658" s="30" t="s">
        <v>16</v>
      </c>
      <c r="G658" s="2"/>
      <c r="H658" s="1" t="s">
        <v>0</v>
      </c>
      <c r="I658" s="2"/>
      <c r="J658" s="2"/>
      <c r="K658" s="1" t="s">
        <v>15</v>
      </c>
    </row>
    <row r="659" ht="15.75" customHeight="1">
      <c r="A659" s="1">
        <v>658.0</v>
      </c>
      <c r="B659" s="1">
        <v>17.0</v>
      </c>
      <c r="C659" s="4" t="s">
        <v>40</v>
      </c>
      <c r="D659" s="5" t="str">
        <f>IFERROR(__xludf.DUMMYFUNCTION("LET(
  words, TRANSPOSE(SPLIT($C659,""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)"),"yung form namin para sa")</f>
        <v>yung form namin para sa</v>
      </c>
      <c r="E659" s="3" t="str">
        <f>IFERROR(__xludf.DUMMYFUNCTION("INDEX(SPLIT($C659,"" ""), ROW()-ROW($E$638)+1)
"),"namin")</f>
        <v>namin</v>
      </c>
      <c r="F659" s="30" t="s">
        <v>16</v>
      </c>
      <c r="G659" s="2"/>
      <c r="H659" s="1" t="s">
        <v>0</v>
      </c>
      <c r="I659" s="2"/>
      <c r="J659" s="2"/>
      <c r="K659" s="1" t="s">
        <v>15</v>
      </c>
    </row>
    <row r="660" ht="15.75" customHeight="1">
      <c r="A660" s="1">
        <v>659.0</v>
      </c>
      <c r="B660" s="1">
        <v>17.0</v>
      </c>
      <c r="C660" s="4" t="s">
        <v>40</v>
      </c>
      <c r="D660" s="5" t="str">
        <f>IFERROR(__xludf.DUMMYFUNCTION("LET(
  words, TRANSPOSE(SPLIT($C660,""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)"),"form namin para sa Mini")</f>
        <v>form namin para sa Mini</v>
      </c>
      <c r="E660" s="3" t="str">
        <f>IFERROR(__xludf.DUMMYFUNCTION("INDEX(SPLIT($C660,"" ""), ROW()-ROW($E$638)+1)
"),"para")</f>
        <v>para</v>
      </c>
      <c r="F660" s="30" t="s">
        <v>16</v>
      </c>
      <c r="G660" s="2"/>
      <c r="H660" s="1" t="s">
        <v>0</v>
      </c>
      <c r="I660" s="2"/>
      <c r="J660" s="2"/>
      <c r="K660" s="1" t="s">
        <v>15</v>
      </c>
    </row>
    <row r="661" ht="15.75" customHeight="1">
      <c r="A661" s="1">
        <v>660.0</v>
      </c>
      <c r="B661" s="1">
        <v>17.0</v>
      </c>
      <c r="C661" s="4" t="s">
        <v>40</v>
      </c>
      <c r="D661" s="5" t="str">
        <f>IFERROR(__xludf.DUMMYFUNCTION("LET(
  words, TRANSPOSE(SPLIT($C661,""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)"),"namin para sa Mini Research")</f>
        <v>namin para sa Mini Research</v>
      </c>
      <c r="E661" s="3" t="str">
        <f>IFERROR(__xludf.DUMMYFUNCTION("INDEX(SPLIT($C661,"" ""), ROW()-ROW($E$638)+1)
"),"sa")</f>
        <v>sa</v>
      </c>
      <c r="F661" s="30" t="s">
        <v>16</v>
      </c>
      <c r="G661" s="2"/>
      <c r="H661" s="1" t="s">
        <v>0</v>
      </c>
      <c r="I661" s="2"/>
      <c r="J661" s="2"/>
      <c r="K661" s="1" t="s">
        <v>15</v>
      </c>
    </row>
    <row r="662" ht="15.75" customHeight="1">
      <c r="A662" s="1">
        <v>661.0</v>
      </c>
      <c r="B662" s="1">
        <v>17.0</v>
      </c>
      <c r="C662" s="4" t="s">
        <v>40</v>
      </c>
      <c r="D662" s="5" t="str">
        <f>IFERROR(__xludf.DUMMYFUNCTION("LET(
  words, TRANSPOSE(SPLIT($C662,""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)"),"para sa Mini Research namen")</f>
        <v>para sa Mini Research namen</v>
      </c>
      <c r="E662" s="3" t="str">
        <f>IFERROR(__xludf.DUMMYFUNCTION("INDEX(SPLIT($C662,"" ""), ROW()-ROW($E$638)+1)
"),"Mini")</f>
        <v>Mini</v>
      </c>
      <c r="F662" s="30" t="s">
        <v>18</v>
      </c>
      <c r="G662" s="1" t="s">
        <v>28</v>
      </c>
      <c r="H662" s="1" t="s">
        <v>0</v>
      </c>
      <c r="I662" s="2"/>
      <c r="J662" s="2"/>
      <c r="K662" s="1" t="s">
        <v>15</v>
      </c>
    </row>
    <row r="663" ht="15.75" customHeight="1">
      <c r="A663" s="1">
        <v>662.0</v>
      </c>
      <c r="B663" s="1">
        <v>17.0</v>
      </c>
      <c r="C663" s="4" t="s">
        <v>40</v>
      </c>
      <c r="D663" s="5" t="str">
        <f>IFERROR(__xludf.DUMMYFUNCTION("LET(
  words, TRANSPOSE(SPLIT($C663,""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Mini Research namen about")</f>
        <v>sa Mini Research namen about</v>
      </c>
      <c r="E663" s="3" t="str">
        <f>IFERROR(__xludf.DUMMYFUNCTION("INDEX(SPLIT($C663,"" ""), ROW()-ROW($E$638)+1)
"),"Research")</f>
        <v>Research</v>
      </c>
      <c r="F663" s="30" t="s">
        <v>18</v>
      </c>
      <c r="G663" s="1" t="s">
        <v>28</v>
      </c>
      <c r="H663" s="1" t="s">
        <v>0</v>
      </c>
      <c r="I663" s="2"/>
      <c r="J663" s="2"/>
      <c r="K663" s="1" t="s">
        <v>15</v>
      </c>
    </row>
    <row r="664" ht="15.75" customHeight="1">
      <c r="A664" s="1">
        <v>663.0</v>
      </c>
      <c r="B664" s="1">
        <v>17.0</v>
      </c>
      <c r="C664" s="4" t="s">
        <v>40</v>
      </c>
      <c r="D664" s="5" t="str">
        <f>IFERROR(__xludf.DUMMYFUNCTION("LET(
  words, TRANSPOSE(SPLIT($C664,""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)"),"Mini Research namen about sa")</f>
        <v>Mini Research namen about sa</v>
      </c>
      <c r="E664" s="3" t="str">
        <f>IFERROR(__xludf.DUMMYFUNCTION("INDEX(SPLIT($C664,"" ""), ROW()-ROW($E$638)+1)
"),"namen")</f>
        <v>namen</v>
      </c>
      <c r="F664" s="30" t="s">
        <v>16</v>
      </c>
      <c r="G664" s="2"/>
      <c r="H664" s="1" t="s">
        <v>0</v>
      </c>
      <c r="I664" s="2"/>
      <c r="J664" s="2"/>
      <c r="K664" s="1" t="s">
        <v>15</v>
      </c>
    </row>
    <row r="665" ht="15.75" customHeight="1">
      <c r="A665" s="1">
        <v>664.0</v>
      </c>
      <c r="B665" s="1">
        <v>17.0</v>
      </c>
      <c r="C665" s="4" t="s">
        <v>40</v>
      </c>
      <c r="D665" s="5" t="str">
        <f>IFERROR(__xludf.DUMMYFUNCTION("LET(
  words, TRANSPOSE(SPLIT($C665,""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)"),"Research namen about sa Geometric")</f>
        <v>Research namen about sa Geometric</v>
      </c>
      <c r="E665" s="3" t="str">
        <f>IFERROR(__xludf.DUMMYFUNCTION("INDEX(SPLIT($C665,"" ""), ROW()-ROW($E$638)+1)
"),"about")</f>
        <v>about</v>
      </c>
      <c r="F665" s="30" t="s">
        <v>18</v>
      </c>
      <c r="G665" s="2"/>
      <c r="H665" s="1" t="s">
        <v>0</v>
      </c>
      <c r="I665" s="2"/>
      <c r="J665" s="2"/>
      <c r="K665" s="1" t="s">
        <v>15</v>
      </c>
    </row>
    <row r="666" ht="15.75" customHeight="1">
      <c r="A666" s="1">
        <v>665.0</v>
      </c>
      <c r="B666" s="1">
        <v>17.0</v>
      </c>
      <c r="C666" s="4" t="s">
        <v>40</v>
      </c>
      <c r="D666" s="5" t="str">
        <f>IFERROR(__xludf.DUMMYFUNCTION("LET(
  words, TRANSPOSE(SPLIT($C666,""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)"),"namen about sa Geometric Sequence")</f>
        <v>namen about sa Geometric Sequence</v>
      </c>
      <c r="E666" s="3" t="str">
        <f>IFERROR(__xludf.DUMMYFUNCTION("INDEX(SPLIT($C666,"" ""), ROW()-ROW($E$638)+1)
"),"sa")</f>
        <v>sa</v>
      </c>
      <c r="F666" s="30" t="s">
        <v>16</v>
      </c>
      <c r="G666" s="2"/>
      <c r="H666" s="1" t="s">
        <v>0</v>
      </c>
      <c r="I666" s="2"/>
      <c r="J666" s="2"/>
      <c r="K666" s="1" t="s">
        <v>15</v>
      </c>
    </row>
    <row r="667" ht="15.75" customHeight="1">
      <c r="A667" s="1">
        <v>666.0</v>
      </c>
      <c r="B667" s="1">
        <v>17.0</v>
      </c>
      <c r="C667" s="4" t="s">
        <v>40</v>
      </c>
      <c r="D667" s="5" t="str">
        <f>IFERROR(__xludf.DUMMYFUNCTION("LET(
  words, TRANSPOSE(SPLIT($C667,""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)"),"about sa Geometric Sequence ,")</f>
        <v>about sa Geometric Sequence ,</v>
      </c>
      <c r="E667" s="3" t="str">
        <f>IFERROR(__xludf.DUMMYFUNCTION("INDEX(SPLIT($C667,"" ""), ROW()-ROW($E$638)+1)
"),"Geometric")</f>
        <v>Geometric</v>
      </c>
      <c r="F667" s="30" t="s">
        <v>18</v>
      </c>
      <c r="G667" s="1" t="s">
        <v>28</v>
      </c>
      <c r="H667" s="1" t="s">
        <v>0</v>
      </c>
      <c r="I667" s="2"/>
      <c r="J667" s="2"/>
      <c r="K667" s="1" t="s">
        <v>15</v>
      </c>
    </row>
    <row r="668" ht="15.75" customHeight="1">
      <c r="A668" s="1">
        <v>667.0</v>
      </c>
      <c r="B668" s="1">
        <v>17.0</v>
      </c>
      <c r="C668" s="4" t="s">
        <v>40</v>
      </c>
      <c r="D668" s="5" t="str">
        <f>IFERROR(__xludf.DUMMYFUNCTION("LET(
  words, TRANSPOSE(SPLIT($C668,""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Geometric Sequence , sagutin")</f>
        <v>sa Geometric Sequence , sagutin</v>
      </c>
      <c r="E668" s="3" t="str">
        <f>IFERROR(__xludf.DUMMYFUNCTION("INDEX(SPLIT($C668,"" ""), ROW()-ROW($E$638)+1)
"),"Sequence")</f>
        <v>Sequence</v>
      </c>
      <c r="F668" s="30" t="s">
        <v>18</v>
      </c>
      <c r="G668" s="1" t="s">
        <v>28</v>
      </c>
      <c r="H668" s="1" t="s">
        <v>0</v>
      </c>
      <c r="I668" s="2"/>
      <c r="J668" s="2"/>
      <c r="K668" s="1" t="s">
        <v>15</v>
      </c>
    </row>
    <row r="669" ht="15.75" customHeight="1">
      <c r="A669" s="1">
        <v>668.0</v>
      </c>
      <c r="B669" s="1">
        <v>17.0</v>
      </c>
      <c r="C669" s="4" t="s">
        <v>40</v>
      </c>
      <c r="D669" s="5" t="str">
        <f>IFERROR(__xludf.DUMMYFUNCTION("LET(
  words, TRANSPOSE(SPLIT($C669,""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)"),"Geometric Sequence , sagutin niyo")</f>
        <v>Geometric Sequence , sagutin niyo</v>
      </c>
      <c r="E669" s="3" t="str">
        <f>IFERROR(__xludf.DUMMYFUNCTION("INDEX(SPLIT($C669,"" ""), ROW()-ROW($E$638)+1)
"),",")</f>
        <v>,</v>
      </c>
      <c r="F669" s="30" t="s">
        <v>17</v>
      </c>
      <c r="G669" s="2"/>
      <c r="H669" s="1" t="s">
        <v>0</v>
      </c>
      <c r="I669" s="2"/>
      <c r="J669" s="2"/>
      <c r="K669" s="1" t="s">
        <v>15</v>
      </c>
    </row>
    <row r="670" ht="15.75" customHeight="1">
      <c r="A670" s="1">
        <v>669.0</v>
      </c>
      <c r="B670" s="1">
        <v>17.0</v>
      </c>
      <c r="C670" s="4" t="s">
        <v>40</v>
      </c>
      <c r="D670" s="5" t="str">
        <f>IFERROR(__xludf.DUMMYFUNCTION("LET(
  words, TRANSPOSE(SPLIT($C670,""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)"),"Sequence , sagutin niyo na")</f>
        <v>Sequence , sagutin niyo na</v>
      </c>
      <c r="E670" s="3" t="str">
        <f>IFERROR(__xludf.DUMMYFUNCTION("INDEX(SPLIT($C670,"" ""), ROW()-ROW($E$638)+1)
"),"sagutin")</f>
        <v>sagutin</v>
      </c>
      <c r="F670" s="30" t="s">
        <v>16</v>
      </c>
      <c r="G670" s="2"/>
      <c r="H670" s="1" t="s">
        <v>0</v>
      </c>
      <c r="I670" s="2"/>
      <c r="J670" s="2"/>
      <c r="K670" s="1" t="s">
        <v>15</v>
      </c>
    </row>
    <row r="671" ht="15.75" customHeight="1">
      <c r="A671" s="1">
        <v>670.0</v>
      </c>
      <c r="B671" s="1">
        <v>17.0</v>
      </c>
      <c r="C671" s="4" t="s">
        <v>40</v>
      </c>
      <c r="D671" s="5" t="str">
        <f>IFERROR(__xludf.DUMMYFUNCTION("LET(
  words, TRANSPOSE(SPLIT($C671,""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sagutin niyo na plz")</f>
        <v>, sagutin niyo na plz</v>
      </c>
      <c r="E671" s="3" t="str">
        <f>IFERROR(__xludf.DUMMYFUNCTION("INDEX(SPLIT($C671,"" ""), ROW()-ROW($E$638)+1)
"),"niyo")</f>
        <v>niyo</v>
      </c>
      <c r="F671" s="30" t="s">
        <v>16</v>
      </c>
      <c r="G671" s="2"/>
      <c r="H671" s="1" t="s">
        <v>0</v>
      </c>
      <c r="I671" s="2"/>
      <c r="J671" s="2"/>
      <c r="K671" s="1" t="s">
        <v>15</v>
      </c>
    </row>
    <row r="672" ht="15.75" customHeight="1">
      <c r="A672" s="1">
        <v>671.0</v>
      </c>
      <c r="B672" s="1">
        <v>17.0</v>
      </c>
      <c r="C672" s="4" t="s">
        <v>40</v>
      </c>
      <c r="D672" s="5" t="str">
        <f>IFERROR(__xludf.DUMMYFUNCTION("LET(
  words, TRANSPOSE(SPLIT($C672,""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)"),"sagutin niyo na plz .")</f>
        <v>sagutin niyo na plz .</v>
      </c>
      <c r="E672" s="3" t="str">
        <f>IFERROR(__xludf.DUMMYFUNCTION("INDEX(SPLIT($C672,"" ""), ROW()-ROW($E$638)+1)
"),"na")</f>
        <v>na</v>
      </c>
      <c r="F672" s="30" t="s">
        <v>16</v>
      </c>
      <c r="G672" s="2"/>
      <c r="H672" s="1" t="s">
        <v>0</v>
      </c>
      <c r="I672" s="2"/>
      <c r="J672" s="2"/>
      <c r="K672" s="1" t="s">
        <v>15</v>
      </c>
    </row>
    <row r="673" ht="15.75" customHeight="1">
      <c r="A673" s="1">
        <v>672.0</v>
      </c>
      <c r="B673" s="1">
        <v>17.0</v>
      </c>
      <c r="C673" s="4" t="s">
        <v>40</v>
      </c>
      <c r="D673" s="5" t="str">
        <f>IFERROR(__xludf.DUMMYFUNCTION("LET(
  words, TRANSPOSE(SPLIT($C673,""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)"),"niyo na plz . Kung")</f>
        <v>niyo na plz . Kung</v>
      </c>
      <c r="E673" s="3" t="str">
        <f>IFERROR(__xludf.DUMMYFUNCTION("INDEX(SPLIT($C673,"" ""), ROW()-ROW($E$638)+1)
"),"plz")</f>
        <v>plz</v>
      </c>
      <c r="F673" s="30" t="s">
        <v>18</v>
      </c>
      <c r="G673" s="1" t="s">
        <v>19</v>
      </c>
      <c r="H673" s="1" t="s">
        <v>0</v>
      </c>
      <c r="I673" s="2"/>
      <c r="J673" s="2"/>
      <c r="K673" s="1" t="s">
        <v>15</v>
      </c>
    </row>
    <row r="674" ht="15.75" customHeight="1">
      <c r="A674" s="1">
        <v>673.0</v>
      </c>
      <c r="B674" s="1">
        <v>17.0</v>
      </c>
      <c r="C674" s="4" t="s">
        <v>40</v>
      </c>
      <c r="D674" s="5" t="str">
        <f>IFERROR(__xludf.DUMMYFUNCTION("LET(
  words, TRANSPOSE(SPLIT($C674,""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plz . Kung nasobrahan")</f>
        <v>na plz . Kung nasobrahan</v>
      </c>
      <c r="E674" s="3" t="str">
        <f>IFERROR(__xludf.DUMMYFUNCTION("INDEX(SPLIT($C674,"" ""), ROW()-ROW($E$638)+1)
"),".")</f>
        <v>.</v>
      </c>
      <c r="F674" s="30" t="s">
        <v>17</v>
      </c>
      <c r="G674" s="2"/>
      <c r="H674" s="1" t="s">
        <v>0</v>
      </c>
      <c r="I674" s="2"/>
      <c r="J674" s="2"/>
      <c r="K674" s="1" t="s">
        <v>15</v>
      </c>
    </row>
    <row r="675" ht="15.75" customHeight="1">
      <c r="A675" s="1">
        <v>674.0</v>
      </c>
      <c r="B675" s="1">
        <v>17.0</v>
      </c>
      <c r="C675" s="4" t="s">
        <v>40</v>
      </c>
      <c r="D675" s="5" t="str">
        <f>IFERROR(__xludf.DUMMYFUNCTION("LET(
  words, TRANSPOSE(SPLIT($C675,""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)"),"plz . Kung nasobrahan nmn")</f>
        <v>plz . Kung nasobrahan nmn</v>
      </c>
      <c r="E675" s="3" t="str">
        <f>IFERROR(__xludf.DUMMYFUNCTION("INDEX(SPLIT($C675,"" ""), ROW()-ROW($E$638)+1)
"),"Kung")</f>
        <v>Kung</v>
      </c>
      <c r="F675" s="30" t="s">
        <v>16</v>
      </c>
      <c r="G675" s="2"/>
      <c r="H675" s="1" t="s">
        <v>0</v>
      </c>
      <c r="I675" s="2"/>
      <c r="J675" s="2"/>
      <c r="K675" s="1" t="s">
        <v>15</v>
      </c>
    </row>
    <row r="676" ht="15.75" customHeight="1">
      <c r="A676" s="1">
        <v>675.0</v>
      </c>
      <c r="B676" s="1">
        <v>17.0</v>
      </c>
      <c r="C676" s="4" t="s">
        <v>40</v>
      </c>
      <c r="D676" s="5" t="str">
        <f>IFERROR(__xludf.DUMMYFUNCTION("LET(
  words, TRANSPOSE(SPLIT($C676,""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Kung nasobrahan nmn kau")</f>
        <v>. Kung nasobrahan nmn kau</v>
      </c>
      <c r="E676" s="3" t="str">
        <f>IFERROR(__xludf.DUMMYFUNCTION("INDEX(SPLIT($C676,"" ""), ROW()-ROW($E$638)+1)
"),"nasobrahan")</f>
        <v>nasobrahan</v>
      </c>
      <c r="F676" s="30" t="s">
        <v>16</v>
      </c>
      <c r="G676" s="2"/>
      <c r="H676" s="1" t="s">
        <v>0</v>
      </c>
      <c r="I676" s="2"/>
      <c r="J676" s="2"/>
      <c r="K676" s="1" t="s">
        <v>15</v>
      </c>
    </row>
    <row r="677" ht="15.75" customHeight="1">
      <c r="A677" s="1">
        <v>676.0</v>
      </c>
      <c r="B677" s="1">
        <v>17.0</v>
      </c>
      <c r="C677" s="4" t="s">
        <v>40</v>
      </c>
      <c r="D677" s="5" t="str">
        <f>IFERROR(__xludf.DUMMYFUNCTION("LET(
  words, TRANSPOSE(SPLIT($C677,""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)"),"Kung nasobrahan nmn kau sa")</f>
        <v>Kung nasobrahan nmn kau sa</v>
      </c>
      <c r="E677" s="3" t="str">
        <f>IFERROR(__xludf.DUMMYFUNCTION("INDEX(SPLIT($C677,"" ""), ROW()-ROW($E$638)+1)
"),"nmn")</f>
        <v>nmn</v>
      </c>
      <c r="F677" s="30" t="s">
        <v>16</v>
      </c>
      <c r="G677" s="1" t="s">
        <v>19</v>
      </c>
      <c r="H677" s="1" t="s">
        <v>0</v>
      </c>
      <c r="I677" s="2"/>
      <c r="J677" s="2"/>
      <c r="K677" s="1" t="s">
        <v>15</v>
      </c>
    </row>
    <row r="678" ht="15.75" customHeight="1">
      <c r="A678" s="1">
        <v>677.0</v>
      </c>
      <c r="B678" s="1">
        <v>17.0</v>
      </c>
      <c r="C678" s="4" t="s">
        <v>40</v>
      </c>
      <c r="D678" s="5" t="str">
        <f>IFERROR(__xludf.DUMMYFUNCTION("LET(
  words, TRANSPOSE(SPLIT($C678,""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)"),"nasobrahan nmn kau sa kabaitan")</f>
        <v>nasobrahan nmn kau sa kabaitan</v>
      </c>
      <c r="E678" s="3" t="str">
        <f>IFERROR(__xludf.DUMMYFUNCTION("INDEX(SPLIT($C678,"" ""), ROW()-ROW($E$638)+1)
"),"kau")</f>
        <v>kau</v>
      </c>
      <c r="F678" s="30" t="s">
        <v>16</v>
      </c>
      <c r="G678" s="1" t="s">
        <v>19</v>
      </c>
      <c r="H678" s="1" t="s">
        <v>0</v>
      </c>
      <c r="I678" s="2"/>
      <c r="J678" s="2"/>
      <c r="K678" s="1" t="s">
        <v>15</v>
      </c>
    </row>
    <row r="679" ht="15.75" customHeight="1">
      <c r="A679" s="1">
        <v>678.0</v>
      </c>
      <c r="B679" s="1">
        <v>17.0</v>
      </c>
      <c r="C679" s="4" t="s">
        <v>40</v>
      </c>
      <c r="D679" s="5" t="str">
        <f>IFERROR(__xludf.DUMMYFUNCTION("LET(
  words, TRANSPOSE(SPLIT($C679,""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)"),"nmn kau sa kabaitan paki-share")</f>
        <v>nmn kau sa kabaitan paki-share</v>
      </c>
      <c r="E679" s="3" t="str">
        <f>IFERROR(__xludf.DUMMYFUNCTION("INDEX(SPLIT($C679,"" ""), ROW()-ROW($E$638)+1)
"),"sa")</f>
        <v>sa</v>
      </c>
      <c r="F679" s="30" t="s">
        <v>16</v>
      </c>
      <c r="G679" s="2"/>
      <c r="H679" s="1" t="s">
        <v>0</v>
      </c>
      <c r="I679" s="2"/>
      <c r="J679" s="2"/>
      <c r="K679" s="1" t="s">
        <v>15</v>
      </c>
    </row>
    <row r="680" ht="15.75" customHeight="1">
      <c r="A680" s="1">
        <v>679.0</v>
      </c>
      <c r="B680" s="1">
        <v>17.0</v>
      </c>
      <c r="C680" s="4" t="s">
        <v>40</v>
      </c>
      <c r="D680" s="5" t="str">
        <f>IFERROR(__xludf.DUMMYFUNCTION("LET(
  words, TRANSPOSE(SPLIT($C680,""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)"),"kau sa kabaitan paki-share na")</f>
        <v>kau sa kabaitan paki-share na</v>
      </c>
      <c r="E680" s="3" t="str">
        <f>IFERROR(__xludf.DUMMYFUNCTION("INDEX(SPLIT($C680,"" ""), ROW()-ROW($E$638)+1)
"),"kabaitan")</f>
        <v>kabaitan</v>
      </c>
      <c r="F680" s="30" t="s">
        <v>16</v>
      </c>
      <c r="G680" s="2"/>
      <c r="H680" s="1" t="s">
        <v>0</v>
      </c>
      <c r="I680" s="2"/>
      <c r="J680" s="2"/>
      <c r="K680" s="1" t="s">
        <v>15</v>
      </c>
    </row>
    <row r="681" ht="15.75" customHeight="1">
      <c r="A681" s="1">
        <v>680.0</v>
      </c>
      <c r="B681" s="1">
        <v>17.0</v>
      </c>
      <c r="C681" s="4" t="s">
        <v>40</v>
      </c>
      <c r="D681" s="5" t="str">
        <f>IFERROR(__xludf.DUMMYFUNCTION("LET(
  words, TRANSPOSE(SPLIT($C681,""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kabaitan paki-share na din")</f>
        <v>sa kabaitan paki-share na din</v>
      </c>
      <c r="E681" s="3" t="str">
        <f>IFERROR(__xludf.DUMMYFUNCTION("INDEX(SPLIT($C681,"" ""), ROW()-ROW($E$638)+1)
"),"paki-share")</f>
        <v>paki-share</v>
      </c>
      <c r="F681" s="30" t="s">
        <v>23</v>
      </c>
      <c r="G681" s="2"/>
      <c r="H681" s="1" t="s">
        <v>0</v>
      </c>
      <c r="I681" s="2"/>
      <c r="J681" s="2"/>
      <c r="K681" s="1" t="s">
        <v>15</v>
      </c>
    </row>
    <row r="682" ht="15.75" customHeight="1">
      <c r="A682" s="1">
        <v>681.0</v>
      </c>
      <c r="B682" s="1">
        <v>17.0</v>
      </c>
      <c r="C682" s="4" t="s">
        <v>40</v>
      </c>
      <c r="D682" s="5" t="str">
        <f>IFERROR(__xludf.DUMMYFUNCTION("LET(
  words, TRANSPOSE(SPLIT($C682,""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)"),"kabaitan paki-share na din po")</f>
        <v>kabaitan paki-share na din po</v>
      </c>
      <c r="E682" s="3" t="str">
        <f>IFERROR(__xludf.DUMMYFUNCTION("INDEX(SPLIT($C682,"" ""), ROW()-ROW($E$638)+1)
"),"na")</f>
        <v>na</v>
      </c>
      <c r="F682" s="30" t="s">
        <v>16</v>
      </c>
      <c r="G682" s="2"/>
      <c r="H682" s="1" t="s">
        <v>0</v>
      </c>
      <c r="I682" s="2"/>
      <c r="J682" s="2"/>
      <c r="K682" s="1" t="s">
        <v>15</v>
      </c>
    </row>
    <row r="683" ht="15.75" customHeight="1">
      <c r="A683" s="1">
        <v>682.0</v>
      </c>
      <c r="B683" s="1">
        <v>17.0</v>
      </c>
      <c r="C683" s="4" t="s">
        <v>40</v>
      </c>
      <c r="D683" s="5" t="str">
        <f>IFERROR(__xludf.DUMMYFUNCTION("LET(
  words, TRANSPOSE(SPLIT($C683,""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)"),"paki-share na din po sa")</f>
        <v>paki-share na din po sa</v>
      </c>
      <c r="E683" s="3" t="str">
        <f>IFERROR(__xludf.DUMMYFUNCTION("INDEX(SPLIT($C683,"" ""), ROW()-ROW($E$638)+1)
"),"din")</f>
        <v>din</v>
      </c>
      <c r="F683" s="30" t="s">
        <v>16</v>
      </c>
      <c r="G683" s="2"/>
      <c r="H683" s="1" t="s">
        <v>0</v>
      </c>
      <c r="I683" s="2"/>
      <c r="J683" s="2"/>
      <c r="K683" s="1" t="s">
        <v>15</v>
      </c>
    </row>
    <row r="684" ht="15.75" customHeight="1">
      <c r="A684" s="1">
        <v>683.0</v>
      </c>
      <c r="B684" s="1">
        <v>17.0</v>
      </c>
      <c r="C684" s="4" t="s">
        <v>40</v>
      </c>
      <c r="D684" s="5" t="str">
        <f>IFERROR(__xludf.DUMMYFUNCTION("LET(
  words, TRANSPOSE(SPLIT($C684,""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din po sa ibaa")</f>
        <v>na din po sa ibaa</v>
      </c>
      <c r="E684" s="3" t="str">
        <f>IFERROR(__xludf.DUMMYFUNCTION("INDEX(SPLIT($C684,"" ""), ROW()-ROW($E$638)+1)
"),"po")</f>
        <v>po</v>
      </c>
      <c r="F684" s="30" t="s">
        <v>16</v>
      </c>
      <c r="G684" s="2"/>
      <c r="H684" s="1" t="s">
        <v>0</v>
      </c>
      <c r="I684" s="2"/>
      <c r="J684" s="2"/>
      <c r="K684" s="1" t="s">
        <v>15</v>
      </c>
    </row>
    <row r="685" ht="15.75" customHeight="1">
      <c r="A685" s="1">
        <v>684.0</v>
      </c>
      <c r="B685" s="1">
        <v>17.0</v>
      </c>
      <c r="C685" s="4" t="s">
        <v>40</v>
      </c>
      <c r="D685" s="5" t="str">
        <f>IFERROR(__xludf.DUMMYFUNCTION("LET(
  words, TRANSPOSE(SPLIT($C685,""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)"),"din po sa ibaa .")</f>
        <v>din po sa ibaa .</v>
      </c>
      <c r="E685" s="3" t="str">
        <f>IFERROR(__xludf.DUMMYFUNCTION("INDEX(SPLIT($C685,"" ""), ROW()-ROW($E$638)+1)
"),"sa")</f>
        <v>sa</v>
      </c>
      <c r="F685" s="30" t="s">
        <v>16</v>
      </c>
      <c r="G685" s="2"/>
      <c r="H685" s="1" t="s">
        <v>0</v>
      </c>
      <c r="I685" s="2"/>
      <c r="J685" s="2"/>
      <c r="K685" s="1" t="s">
        <v>15</v>
      </c>
    </row>
    <row r="686" ht="15.75" customHeight="1">
      <c r="A686" s="1">
        <v>685.0</v>
      </c>
      <c r="B686" s="1">
        <v>17.0</v>
      </c>
      <c r="C686" s="4" t="s">
        <v>40</v>
      </c>
      <c r="D686" s="5" t="str">
        <f>IFERROR(__xludf.DUMMYFUNCTION("LET(
  words, TRANSPOSE(SPLIT($C686,""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 sa ibaa . Thank")</f>
        <v>po sa ibaa . Thank</v>
      </c>
      <c r="E686" s="3" t="str">
        <f>IFERROR(__xludf.DUMMYFUNCTION("INDEX(SPLIT($C686,"" ""), ROW()-ROW($E$638)+1)
"),"ibaa")</f>
        <v>ibaa</v>
      </c>
      <c r="F686" s="30" t="s">
        <v>16</v>
      </c>
      <c r="G686" s="2"/>
      <c r="H686" s="1" t="s">
        <v>0</v>
      </c>
      <c r="I686" s="2"/>
      <c r="J686" s="2"/>
      <c r="K686" s="1" t="s">
        <v>15</v>
      </c>
    </row>
    <row r="687" ht="15.75" customHeight="1">
      <c r="A687" s="1">
        <v>686.0</v>
      </c>
      <c r="B687" s="1">
        <v>17.0</v>
      </c>
      <c r="C687" s="4" t="s">
        <v>40</v>
      </c>
      <c r="D687" s="5" t="str">
        <f>IFERROR(__xludf.DUMMYFUNCTION("LET(
  words, TRANSPOSE(SPLIT($C687,""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ibaa . Thank youuu")</f>
        <v>sa ibaa . Thank youuu</v>
      </c>
      <c r="E687" s="3" t="str">
        <f>IFERROR(__xludf.DUMMYFUNCTION("INDEX(SPLIT($C687,"" ""), ROW()-ROW($E$638)+1)
"),".")</f>
        <v>.</v>
      </c>
      <c r="F687" s="30" t="s">
        <v>17</v>
      </c>
      <c r="G687" s="2"/>
      <c r="H687" s="1" t="s">
        <v>0</v>
      </c>
      <c r="I687" s="2"/>
      <c r="J687" s="2"/>
      <c r="K687" s="1" t="s">
        <v>15</v>
      </c>
    </row>
    <row r="688" ht="15.75" customHeight="1">
      <c r="A688" s="1">
        <v>687.0</v>
      </c>
      <c r="B688" s="1">
        <v>17.0</v>
      </c>
      <c r="C688" s="4" t="s">
        <v>40</v>
      </c>
      <c r="D688" s="5" t="str">
        <f>IFERROR(__xludf.DUMMYFUNCTION("LET(
  words, TRANSPOSE(SPLIT($C688,""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)"),"ibaa . Thank youuu !")</f>
        <v>ibaa . Thank youuu !</v>
      </c>
      <c r="E688" s="3" t="str">
        <f>IFERROR(__xludf.DUMMYFUNCTION("INDEX(SPLIT($C688,"" ""), ROW()-ROW($E$638)+1)
"),"Thank")</f>
        <v>Thank</v>
      </c>
      <c r="F688" s="30" t="s">
        <v>18</v>
      </c>
      <c r="G688" s="2"/>
      <c r="H688" s="1" t="s">
        <v>0</v>
      </c>
      <c r="I688" s="2"/>
      <c r="J688" s="2"/>
      <c r="K688" s="1" t="s">
        <v>15</v>
      </c>
    </row>
    <row r="689" ht="15.75" customHeight="1">
      <c r="A689" s="1">
        <v>688.0</v>
      </c>
      <c r="B689" s="1">
        <v>17.0</v>
      </c>
      <c r="C689" s="4" t="s">
        <v>40</v>
      </c>
      <c r="D689" s="5" t="str">
        <f>IFERROR(__xludf.DUMMYFUNCTION("LET(
  words, TRANSPOSE(SPLIT($C689,""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Thank youuu ! Nawa'y")</f>
        <v>. Thank youuu ! Nawa'y</v>
      </c>
      <c r="E689" s="3" t="str">
        <f>IFERROR(__xludf.DUMMYFUNCTION("INDEX(SPLIT($C689,"" ""), ROW()-ROW($E$638)+1)
"),"youuu")</f>
        <v>youuu</v>
      </c>
      <c r="F689" s="30" t="s">
        <v>18</v>
      </c>
      <c r="G689" s="2"/>
      <c r="H689" s="1" t="s">
        <v>0</v>
      </c>
      <c r="I689" s="2"/>
      <c r="J689" s="2"/>
      <c r="K689" s="1" t="s">
        <v>15</v>
      </c>
    </row>
    <row r="690" ht="15.75" customHeight="1">
      <c r="A690" s="1">
        <v>689.0</v>
      </c>
      <c r="B690" s="1">
        <v>17.0</v>
      </c>
      <c r="C690" s="4" t="s">
        <v>40</v>
      </c>
      <c r="D690" s="5" t="str">
        <f>IFERROR(__xludf.DUMMYFUNCTION("LET(
  words, TRANSPOSE(SPLIT($C690,""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)"),"Thank youuu ! Nawa'y ang")</f>
        <v>Thank youuu ! Nawa'y ang</v>
      </c>
      <c r="E690" s="3" t="str">
        <f>IFERROR(__xludf.DUMMYFUNCTION("INDEX(SPLIT($C690,"" ""), ROW()-ROW($E$638)+1)
"),"!")</f>
        <v>!</v>
      </c>
      <c r="F690" s="30" t="s">
        <v>17</v>
      </c>
      <c r="G690" s="2"/>
      <c r="H690" s="1" t="s">
        <v>0</v>
      </c>
      <c r="I690" s="2"/>
      <c r="J690" s="2"/>
      <c r="K690" s="1" t="s">
        <v>15</v>
      </c>
    </row>
    <row r="691" ht="15.75" customHeight="1">
      <c r="A691" s="1">
        <v>690.0</v>
      </c>
      <c r="B691" s="1">
        <v>17.0</v>
      </c>
      <c r="C691" s="4" t="s">
        <v>40</v>
      </c>
      <c r="D691" s="5" t="str">
        <f>IFERROR(__xludf.DUMMYFUNCTION("LET(
  words, TRANSPOSE(SPLIT($C691,""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)"),"youuu ! Nawa'y ang lahat")</f>
        <v>youuu ! Nawa'y ang lahat</v>
      </c>
      <c r="E691" s="3" t="str">
        <f>IFERROR(__xludf.DUMMYFUNCTION("INDEX(SPLIT($C691,"" ""), ROW()-ROW($E$638)+1)
"),"Nawa'y")</f>
        <v>Nawa'y</v>
      </c>
      <c r="F691" s="30" t="s">
        <v>16</v>
      </c>
      <c r="G691" s="1" t="s">
        <v>19</v>
      </c>
      <c r="H691" s="1" t="s">
        <v>0</v>
      </c>
      <c r="I691" s="2"/>
      <c r="J691" s="2"/>
      <c r="K691" s="1" t="s">
        <v>15</v>
      </c>
    </row>
    <row r="692" ht="15.75" customHeight="1">
      <c r="A692" s="1">
        <v>691.0</v>
      </c>
      <c r="B692" s="1">
        <v>17.0</v>
      </c>
      <c r="C692" s="4" t="s">
        <v>40</v>
      </c>
      <c r="D692" s="5" t="str">
        <f>IFERROR(__xludf.DUMMYFUNCTION("LET(
  words, TRANSPOSE(SPLIT($C692,""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)"),"! Nawa'y ang lahat ng")</f>
        <v>! Nawa'y ang lahat ng</v>
      </c>
      <c r="E692" s="3" t="str">
        <f>IFERROR(__xludf.DUMMYFUNCTION("INDEX(SPLIT($C692,"" ""), ROW()-ROW($E$638)+1)
"),"ang")</f>
        <v>ang</v>
      </c>
      <c r="F692" s="30" t="s">
        <v>16</v>
      </c>
      <c r="G692" s="2"/>
      <c r="H692" s="1" t="s">
        <v>0</v>
      </c>
      <c r="I692" s="2"/>
      <c r="J692" s="2"/>
      <c r="K692" s="1" t="s">
        <v>15</v>
      </c>
    </row>
    <row r="693" ht="15.75" customHeight="1">
      <c r="A693" s="1">
        <v>692.0</v>
      </c>
      <c r="B693" s="1">
        <v>17.0</v>
      </c>
      <c r="C693" s="4" t="s">
        <v>40</v>
      </c>
      <c r="D693" s="5" t="str">
        <f>IFERROR(__xludf.DUMMYFUNCTION("LET(
  words, TRANSPOSE(SPLIT($C693,""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)"),"Nawa'y ang lahat ng sumagot")</f>
        <v>Nawa'y ang lahat ng sumagot</v>
      </c>
      <c r="E693" s="3" t="str">
        <f>IFERROR(__xludf.DUMMYFUNCTION("INDEX(SPLIT($C693,"" ""), ROW()-ROW($E$638)+1)
"),"lahat")</f>
        <v>lahat</v>
      </c>
      <c r="F693" s="30" t="s">
        <v>16</v>
      </c>
      <c r="G693" s="2"/>
      <c r="H693" s="1" t="s">
        <v>0</v>
      </c>
      <c r="I693" s="2"/>
      <c r="J693" s="2"/>
      <c r="K693" s="1" t="s">
        <v>15</v>
      </c>
    </row>
    <row r="694" ht="15.75" customHeight="1">
      <c r="A694" s="1">
        <v>693.0</v>
      </c>
      <c r="B694" s="1">
        <v>17.0</v>
      </c>
      <c r="C694" s="4" t="s">
        <v>40</v>
      </c>
      <c r="D694" s="5" t="str">
        <f>IFERROR(__xludf.DUMMYFUNCTION("LET(
  words, TRANSPOSE(SPLIT($C694,""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lahat ng sumagot yumaman")</f>
        <v>ang lahat ng sumagot yumaman</v>
      </c>
      <c r="E694" s="3" t="str">
        <f>IFERROR(__xludf.DUMMYFUNCTION("INDEX(SPLIT($C694,"" ""), ROW()-ROW($E$638)+1)
"),"ng")</f>
        <v>ng</v>
      </c>
      <c r="F694" s="30" t="s">
        <v>16</v>
      </c>
      <c r="G694" s="2"/>
      <c r="H694" s="1" t="s">
        <v>0</v>
      </c>
      <c r="I694" s="2"/>
      <c r="J694" s="2"/>
      <c r="K694" s="1" t="s">
        <v>15</v>
      </c>
    </row>
    <row r="695" ht="15.75" customHeight="1">
      <c r="A695" s="1">
        <v>694.0</v>
      </c>
      <c r="B695" s="1">
        <v>17.0</v>
      </c>
      <c r="C695" s="4" t="s">
        <v>40</v>
      </c>
      <c r="D695" s="5" t="str">
        <f>IFERROR(__xludf.DUMMYFUNCTION("LET(
  words, TRANSPOSE(SPLIT($C695,""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)"),"lahat ng sumagot yumaman")</f>
        <v>lahat ng sumagot yumaman</v>
      </c>
      <c r="E695" s="3" t="str">
        <f>IFERROR(__xludf.DUMMYFUNCTION("INDEX(SPLIT($C695,"" ""), ROW()-ROW($E$638)+1)
"),"sumagot")</f>
        <v>sumagot</v>
      </c>
      <c r="F695" s="30" t="s">
        <v>16</v>
      </c>
      <c r="G695" s="2"/>
      <c r="H695" s="1" t="s">
        <v>0</v>
      </c>
      <c r="I695" s="2"/>
      <c r="J695" s="2"/>
      <c r="K695" s="1" t="s">
        <v>15</v>
      </c>
    </row>
    <row r="696" ht="15.75" customHeight="1">
      <c r="A696" s="10">
        <v>695.0</v>
      </c>
      <c r="B696" s="10">
        <v>17.0</v>
      </c>
      <c r="C696" s="7" t="s">
        <v>40</v>
      </c>
      <c r="D696" s="8" t="str">
        <f>IFERROR(__xludf.DUMMYFUNCTION("LET(
  words, TRANSPOSE(SPLIT($C696,"" "")),
  n, ROWS(words),
  i, ROW() - ROW($D$638)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)"),"ng sumagot yumaman")</f>
        <v>ng sumagot yumaman</v>
      </c>
      <c r="E696" s="9" t="str">
        <f>IFERROR(__xludf.DUMMYFUNCTION("INDEX(SPLIT($C696,"" ""), ROW()-ROW($E$638)+1)
"),"yumaman")</f>
        <v>yumaman</v>
      </c>
      <c r="F696" s="32" t="s">
        <v>16</v>
      </c>
      <c r="G696" s="6"/>
      <c r="H696" s="10" t="s">
        <v>0</v>
      </c>
      <c r="I696" s="6"/>
      <c r="J696" s="6"/>
      <c r="K696" s="10" t="s">
        <v>15</v>
      </c>
      <c r="L696" s="6"/>
    </row>
    <row r="697" ht="15.75" customHeight="1">
      <c r="A697" s="1">
        <v>696.0</v>
      </c>
      <c r="B697" s="1">
        <v>18.0</v>
      </c>
      <c r="C697" s="4" t="s">
        <v>41</v>
      </c>
      <c r="D697" s="5" t="str">
        <f>IFERROR(__xludf.DUMMYFUNCTION("LET(
  words, TRANSPOSE(SPLIT($C697,""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)"),"Guys may basketball")</f>
        <v>Guys may basketball</v>
      </c>
      <c r="E697" s="3" t="str">
        <f>IFERROR(__xludf.DUMMYFUNCTION("INDEX(SPLIT($C697,"" ""), ROW()-ROW($E$697)+1)
"),"Guys")</f>
        <v>Guys</v>
      </c>
      <c r="F697" s="30" t="s">
        <v>18</v>
      </c>
      <c r="G697" s="2"/>
      <c r="H697" s="1" t="s">
        <v>0</v>
      </c>
      <c r="I697" s="2"/>
      <c r="J697" s="2"/>
      <c r="K697" s="1" t="s">
        <v>15</v>
      </c>
    </row>
    <row r="698" ht="15.75" customHeight="1">
      <c r="A698" s="1">
        <v>697.0</v>
      </c>
      <c r="B698" s="1">
        <v>18.0</v>
      </c>
      <c r="C698" s="4" t="s">
        <v>41</v>
      </c>
      <c r="D698" s="5" t="str">
        <f>IFERROR(__xludf.DUMMYFUNCTION("LET(
  words, TRANSPOSE(SPLIT($C698,""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)"),"Guys may basketball ba")</f>
        <v>Guys may basketball ba</v>
      </c>
      <c r="E698" s="3" t="str">
        <f>IFERROR(__xludf.DUMMYFUNCTION("INDEX(SPLIT($C698,"" ""), ROW()-ROW($E$697)+1)
"),"may")</f>
        <v>may</v>
      </c>
      <c r="F698" s="30" t="s">
        <v>16</v>
      </c>
      <c r="G698" s="2"/>
      <c r="H698" s="1" t="s">
        <v>0</v>
      </c>
      <c r="I698" s="2"/>
      <c r="J698" s="2"/>
      <c r="K698" s="1" t="s">
        <v>15</v>
      </c>
    </row>
    <row r="699" ht="15.75" customHeight="1">
      <c r="A699" s="1">
        <v>698.0</v>
      </c>
      <c r="B699" s="1">
        <v>18.0</v>
      </c>
      <c r="C699" s="4" t="s">
        <v>41</v>
      </c>
      <c r="D699" s="5" t="str">
        <f>IFERROR(__xludf.DUMMYFUNCTION("LET(
  words, TRANSPOSE(SPLIT($C699,""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)"),"Guys may basketball ba kayo")</f>
        <v>Guys may basketball ba kayo</v>
      </c>
      <c r="E699" s="3" t="str">
        <f>IFERROR(__xludf.DUMMYFUNCTION("INDEX(SPLIT($C699,"" ""), ROW()-ROW($E$697)+1)
"),"basketball")</f>
        <v>basketball</v>
      </c>
      <c r="F699" s="30" t="s">
        <v>18</v>
      </c>
      <c r="G699" s="2"/>
      <c r="H699" s="1" t="s">
        <v>0</v>
      </c>
      <c r="I699" s="2"/>
      <c r="J699" s="2"/>
      <c r="K699" s="1" t="s">
        <v>15</v>
      </c>
    </row>
    <row r="700" ht="15.75" customHeight="1">
      <c r="A700" s="1">
        <v>699.0</v>
      </c>
      <c r="B700" s="1">
        <v>18.0</v>
      </c>
      <c r="C700" s="4" t="s">
        <v>41</v>
      </c>
      <c r="D700" s="5" t="str">
        <f>IFERROR(__xludf.DUMMYFUNCTION("LET(
  words, TRANSPOSE(SPLIT($C700,""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)"),"may basketball ba kayo ?")</f>
        <v>may basketball ba kayo ?</v>
      </c>
      <c r="E700" s="3" t="str">
        <f>IFERROR(__xludf.DUMMYFUNCTION("INDEX(SPLIT($C700,"" ""), ROW()-ROW($E$697)+1)
"),"ba")</f>
        <v>ba</v>
      </c>
      <c r="F700" s="30" t="s">
        <v>16</v>
      </c>
      <c r="G700" s="2"/>
      <c r="H700" s="1" t="s">
        <v>0</v>
      </c>
      <c r="I700" s="2"/>
      <c r="J700" s="2"/>
      <c r="K700" s="1" t="s">
        <v>15</v>
      </c>
    </row>
    <row r="701" ht="15.75" customHeight="1">
      <c r="A701" s="1">
        <v>700.0</v>
      </c>
      <c r="B701" s="1">
        <v>18.0</v>
      </c>
      <c r="C701" s="4" t="s">
        <v>41</v>
      </c>
      <c r="D701" s="5" t="str">
        <f>IFERROR(__xludf.DUMMYFUNCTION("LET(
  words, TRANSPOSE(SPLIT($C701,""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)"),"basketball ba kayo ? Hindi")</f>
        <v>basketball ba kayo ? Hindi</v>
      </c>
      <c r="E701" s="3" t="str">
        <f>IFERROR(__xludf.DUMMYFUNCTION("INDEX(SPLIT($C701,"" ""), ROW()-ROW($E$697)+1)
"),"kayo")</f>
        <v>kayo</v>
      </c>
      <c r="F701" s="30" t="s">
        <v>16</v>
      </c>
      <c r="G701" s="2"/>
      <c r="H701" s="1" t="s">
        <v>0</v>
      </c>
      <c r="I701" s="2"/>
      <c r="J701" s="2"/>
      <c r="K701" s="1" t="s">
        <v>15</v>
      </c>
    </row>
    <row r="702" ht="15.75" customHeight="1">
      <c r="A702" s="1">
        <v>701.0</v>
      </c>
      <c r="B702" s="1">
        <v>18.0</v>
      </c>
      <c r="C702" s="4" t="s">
        <v>41</v>
      </c>
      <c r="D702" s="5" t="str">
        <f>IFERROR(__xludf.DUMMYFUNCTION("LET(
  words, TRANSPOSE(SPLIT($C702,""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)"),"ba kayo ? Hindi pwede")</f>
        <v>ba kayo ? Hindi pwede</v>
      </c>
      <c r="E702" s="3" t="str">
        <f>IFERROR(__xludf.DUMMYFUNCTION("INDEX(SPLIT($C702,"" ""), ROW()-ROW($E$697)+1)
"),"?")</f>
        <v>?</v>
      </c>
      <c r="F702" s="30" t="s">
        <v>17</v>
      </c>
      <c r="G702" s="2"/>
      <c r="H702" s="1" t="s">
        <v>0</v>
      </c>
      <c r="I702" s="2"/>
      <c r="J702" s="2"/>
      <c r="K702" s="1" t="s">
        <v>15</v>
      </c>
    </row>
    <row r="703" ht="15.75" customHeight="1">
      <c r="A703" s="1">
        <v>702.0</v>
      </c>
      <c r="B703" s="1">
        <v>18.0</v>
      </c>
      <c r="C703" s="4" t="s">
        <v>41</v>
      </c>
      <c r="D703" s="5" t="str">
        <f>IFERROR(__xludf.DUMMYFUNCTION("LET(
  words, TRANSPOSE(SPLIT($C703,""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)"),"kayo ? Hindi pwede humiram")</f>
        <v>kayo ? Hindi pwede humiram</v>
      </c>
      <c r="E703" s="3" t="str">
        <f>IFERROR(__xludf.DUMMYFUNCTION("INDEX(SPLIT($C703,"" ""), ROW()-ROW($E$697)+1)
"),"Hindi")</f>
        <v>Hindi</v>
      </c>
      <c r="F703" s="30" t="s">
        <v>16</v>
      </c>
      <c r="G703" s="2"/>
      <c r="H703" s="1" t="s">
        <v>0</v>
      </c>
      <c r="I703" s="2"/>
      <c r="J703" s="2"/>
      <c r="K703" s="1" t="s">
        <v>15</v>
      </c>
    </row>
    <row r="704" ht="15.75" customHeight="1">
      <c r="A704" s="1">
        <v>703.0</v>
      </c>
      <c r="B704" s="1">
        <v>18.0</v>
      </c>
      <c r="C704" s="4" t="s">
        <v>41</v>
      </c>
      <c r="D704" s="5" t="str">
        <f>IFERROR(__xludf.DUMMYFUNCTION("LET(
  words, TRANSPOSE(SPLIT($C704,""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)"),"? Hindi pwede humiram sa")</f>
        <v>? Hindi pwede humiram sa</v>
      </c>
      <c r="E704" s="3" t="str">
        <f>IFERROR(__xludf.DUMMYFUNCTION("INDEX(SPLIT($C704,"" ""), ROW()-ROW($E$697)+1)
"),"pwede")</f>
        <v>pwede</v>
      </c>
      <c r="F704" s="30" t="s">
        <v>16</v>
      </c>
      <c r="G704" s="2"/>
      <c r="H704" s="1" t="s">
        <v>0</v>
      </c>
      <c r="I704" s="2"/>
      <c r="J704" s="2"/>
      <c r="K704" s="1" t="s">
        <v>15</v>
      </c>
    </row>
    <row r="705" ht="15.75" customHeight="1">
      <c r="A705" s="1">
        <v>704.0</v>
      </c>
      <c r="B705" s="1">
        <v>18.0</v>
      </c>
      <c r="C705" s="4" t="s">
        <v>41</v>
      </c>
      <c r="D705" s="5" t="str">
        <f>IFERROR(__xludf.DUMMYFUNCTION("LET(
  words, TRANSPOSE(SPLIT($C705,""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)"),"Hindi pwede humiram sa school")</f>
        <v>Hindi pwede humiram sa school</v>
      </c>
      <c r="E705" s="3" t="str">
        <f>IFERROR(__xludf.DUMMYFUNCTION("INDEX(SPLIT($C705,"" ""), ROW()-ROW($E$697)+1)
"),"humiram")</f>
        <v>humiram</v>
      </c>
      <c r="F705" s="30" t="s">
        <v>16</v>
      </c>
      <c r="G705" s="2"/>
      <c r="H705" s="1" t="s">
        <v>0</v>
      </c>
      <c r="I705" s="2"/>
      <c r="J705" s="2"/>
      <c r="K705" s="1" t="s">
        <v>15</v>
      </c>
    </row>
    <row r="706" ht="15.75" customHeight="1">
      <c r="A706" s="1">
        <v>705.0</v>
      </c>
      <c r="B706" s="1">
        <v>18.0</v>
      </c>
      <c r="C706" s="4" t="s">
        <v>41</v>
      </c>
      <c r="D706" s="5" t="str">
        <f>IFERROR(__xludf.DUMMYFUNCTION("LET(
  words, TRANSPOSE(SPLIT($C706,""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)"),"pwede humiram sa school e")</f>
        <v>pwede humiram sa school e</v>
      </c>
      <c r="E706" s="3" t="str">
        <f>IFERROR(__xludf.DUMMYFUNCTION("INDEX(SPLIT($C706,"" ""), ROW()-ROW($E$697)+1)
"),"sa")</f>
        <v>sa</v>
      </c>
      <c r="F706" s="30" t="s">
        <v>16</v>
      </c>
      <c r="G706" s="2"/>
      <c r="H706" s="1" t="s">
        <v>0</v>
      </c>
      <c r="I706" s="2"/>
      <c r="J706" s="2"/>
      <c r="K706" s="1" t="s">
        <v>15</v>
      </c>
    </row>
    <row r="707" ht="15.75" customHeight="1">
      <c r="A707" s="1">
        <v>706.0</v>
      </c>
      <c r="B707" s="1">
        <v>18.0</v>
      </c>
      <c r="C707" s="4" t="s">
        <v>41</v>
      </c>
      <c r="D707" s="5" t="str">
        <f>IFERROR(__xludf.DUMMYFUNCTION("LET(
  words, TRANSPOSE(SPLIT($C707,""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)"),"humiram sa school e ,")</f>
        <v>humiram sa school e ,</v>
      </c>
      <c r="E707" s="3" t="str">
        <f>IFERROR(__xludf.DUMMYFUNCTION("INDEX(SPLIT($C707,"" ""), ROW()-ROW($E$697)+1)
"),"school")</f>
        <v>school</v>
      </c>
      <c r="F707" s="30" t="s">
        <v>18</v>
      </c>
      <c r="G707" s="2"/>
      <c r="H707" s="1" t="s">
        <v>0</v>
      </c>
      <c r="I707" s="2"/>
      <c r="J707" s="2"/>
      <c r="K707" s="1" t="s">
        <v>15</v>
      </c>
    </row>
    <row r="708" ht="15.75" customHeight="1">
      <c r="A708" s="1">
        <v>707.0</v>
      </c>
      <c r="B708" s="1">
        <v>18.0</v>
      </c>
      <c r="C708" s="4" t="s">
        <v>41</v>
      </c>
      <c r="D708" s="5" t="str">
        <f>IFERROR(__xludf.DUMMYFUNCTION("LET(
  words, TRANSPOSE(SPLIT($C708,""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school e , If")</f>
        <v>sa school e , If</v>
      </c>
      <c r="E708" s="3" t="str">
        <f>IFERROR(__xludf.DUMMYFUNCTION("INDEX(SPLIT($C708,"" ""), ROW()-ROW($E$697)+1)
"),"e")</f>
        <v>e</v>
      </c>
      <c r="F708" s="30" t="s">
        <v>16</v>
      </c>
      <c r="G708" s="1" t="s">
        <v>19</v>
      </c>
      <c r="H708" s="1" t="s">
        <v>0</v>
      </c>
      <c r="I708" s="2"/>
      <c r="J708" s="2"/>
      <c r="K708" s="1" t="s">
        <v>15</v>
      </c>
    </row>
    <row r="709" ht="15.75" customHeight="1">
      <c r="A709" s="1">
        <v>708.0</v>
      </c>
      <c r="B709" s="1">
        <v>18.0</v>
      </c>
      <c r="C709" s="4" t="s">
        <v>41</v>
      </c>
      <c r="D709" s="5" t="str">
        <f>IFERROR(__xludf.DUMMYFUNCTION("LET(
  words, TRANSPOSE(SPLIT($C709,""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)"),"school e , If ever")</f>
        <v>school e , If ever</v>
      </c>
      <c r="E709" s="3" t="str">
        <f>IFERROR(__xludf.DUMMYFUNCTION("INDEX(SPLIT($C709,"" ""), ROW()-ROW($E$697)+1)
"),",")</f>
        <v>,</v>
      </c>
      <c r="F709" s="30" t="s">
        <v>17</v>
      </c>
      <c r="G709" s="2"/>
      <c r="H709" s="1" t="s">
        <v>0</v>
      </c>
      <c r="I709" s="2"/>
      <c r="J709" s="2"/>
      <c r="K709" s="1" t="s">
        <v>15</v>
      </c>
    </row>
    <row r="710" ht="15.75" customHeight="1">
      <c r="A710" s="1">
        <v>709.0</v>
      </c>
      <c r="B710" s="1">
        <v>18.0</v>
      </c>
      <c r="C710" s="4" t="s">
        <v>41</v>
      </c>
      <c r="D710" s="5" t="str">
        <f>IFERROR(__xludf.DUMMYFUNCTION("LET(
  words, TRANSPOSE(SPLIT($C710,""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)"),"e , If ever magbadminton")</f>
        <v>e , If ever magbadminton</v>
      </c>
      <c r="E710" s="3" t="str">
        <f>IFERROR(__xludf.DUMMYFUNCTION("INDEX(SPLIT($C710,"" ""), ROW()-ROW($E$697)+1)
"),"If")</f>
        <v>If</v>
      </c>
      <c r="F710" s="30" t="s">
        <v>18</v>
      </c>
      <c r="G710" s="2"/>
      <c r="H710" s="1" t="s">
        <v>0</v>
      </c>
      <c r="I710" s="2"/>
      <c r="J710" s="2"/>
      <c r="K710" s="1" t="s">
        <v>15</v>
      </c>
    </row>
    <row r="711" ht="15.75" customHeight="1">
      <c r="A711" s="1">
        <v>710.0</v>
      </c>
      <c r="B711" s="1">
        <v>18.0</v>
      </c>
      <c r="C711" s="4" t="s">
        <v>41</v>
      </c>
      <c r="D711" s="5" t="str">
        <f>IFERROR(__xludf.DUMMYFUNCTION("LET(
  words, TRANSPOSE(SPLIT($C711,""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If ever magbadminton nalang")</f>
        <v>, If ever magbadminton nalang</v>
      </c>
      <c r="E711" s="3" t="str">
        <f>IFERROR(__xludf.DUMMYFUNCTION("INDEX(SPLIT($C711,"" ""), ROW()-ROW($E$697)+1)
"),"ever")</f>
        <v>ever</v>
      </c>
      <c r="F711" s="30" t="s">
        <v>18</v>
      </c>
      <c r="G711" s="2"/>
      <c r="H711" s="1" t="s">
        <v>0</v>
      </c>
      <c r="I711" s="2"/>
      <c r="J711" s="2"/>
      <c r="K711" s="1" t="s">
        <v>15</v>
      </c>
    </row>
    <row r="712" ht="15.75" customHeight="1">
      <c r="A712" s="1">
        <v>711.0</v>
      </c>
      <c r="B712" s="1">
        <v>18.0</v>
      </c>
      <c r="C712" s="4" t="s">
        <v>41</v>
      </c>
      <c r="D712" s="5" t="str">
        <f>IFERROR(__xludf.DUMMYFUNCTION("LET(
  words, TRANSPOSE(SPLIT($C712,""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)"),"If ever magbadminton nalang kayo")</f>
        <v>If ever magbadminton nalang kayo</v>
      </c>
      <c r="E712" s="3" t="str">
        <f>IFERROR(__xludf.DUMMYFUNCTION("INDEX(SPLIT($C712,"" ""), ROW()-ROW($E$697)+1)
"),"magbadminton")</f>
        <v>magbadminton</v>
      </c>
      <c r="F712" s="30" t="s">
        <v>23</v>
      </c>
      <c r="G712" s="2"/>
      <c r="H712" s="1" t="s">
        <v>0</v>
      </c>
      <c r="I712" s="2"/>
      <c r="J712" s="2"/>
      <c r="K712" s="1" t="s">
        <v>15</v>
      </c>
    </row>
    <row r="713" ht="15.75" customHeight="1">
      <c r="A713" s="1">
        <v>712.0</v>
      </c>
      <c r="B713" s="1">
        <v>18.0</v>
      </c>
      <c r="C713" s="4" t="s">
        <v>41</v>
      </c>
      <c r="D713" s="5" t="str">
        <f>IFERROR(__xludf.DUMMYFUNCTION("LET(
  words, TRANSPOSE(SPLIT($C713,""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)"),"ever magbadminton nalang kayo kung")</f>
        <v>ever magbadminton nalang kayo kung</v>
      </c>
      <c r="E713" s="3" t="str">
        <f>IFERROR(__xludf.DUMMYFUNCTION("INDEX(SPLIT($C713,"" ""), ROW()-ROW($E$697)+1)
"),"nalang")</f>
        <v>nalang</v>
      </c>
      <c r="F713" s="30" t="s">
        <v>16</v>
      </c>
      <c r="G713" s="2"/>
      <c r="H713" s="1" t="s">
        <v>0</v>
      </c>
      <c r="I713" s="2"/>
      <c r="J713" s="2"/>
      <c r="K713" s="1" t="s">
        <v>15</v>
      </c>
    </row>
    <row r="714" ht="15.75" customHeight="1">
      <c r="A714" s="1">
        <v>713.0</v>
      </c>
      <c r="B714" s="1">
        <v>18.0</v>
      </c>
      <c r="C714" s="4" t="s">
        <v>41</v>
      </c>
      <c r="D714" s="5" t="str">
        <f>IFERROR(__xludf.DUMMYFUNCTION("LET(
  words, TRANSPOSE(SPLIT($C714,""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)"),"magbadminton nalang kayo kung puno")</f>
        <v>magbadminton nalang kayo kung puno</v>
      </c>
      <c r="E714" s="3" t="str">
        <f>IFERROR(__xludf.DUMMYFUNCTION("INDEX(SPLIT($C714,"" ""), ROW()-ROW($E$697)+1)
"),"kayo")</f>
        <v>kayo</v>
      </c>
      <c r="F714" s="30" t="s">
        <v>16</v>
      </c>
      <c r="G714" s="2"/>
      <c r="H714" s="1" t="s">
        <v>0</v>
      </c>
      <c r="I714" s="2"/>
      <c r="J714" s="2"/>
      <c r="K714" s="1" t="s">
        <v>15</v>
      </c>
    </row>
    <row r="715" ht="15.75" customHeight="1">
      <c r="A715" s="1">
        <v>714.0</v>
      </c>
      <c r="B715" s="1">
        <v>18.0</v>
      </c>
      <c r="C715" s="4" t="s">
        <v>41</v>
      </c>
      <c r="D715" s="5" t="str">
        <f>IFERROR(__xludf.DUMMYFUNCTION("LET(
  words, TRANSPOSE(SPLIT($C715,""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)"),"nalang kayo kung puno na")</f>
        <v>nalang kayo kung puno na</v>
      </c>
      <c r="E715" s="3" t="str">
        <f>IFERROR(__xludf.DUMMYFUNCTION("INDEX(SPLIT($C715,"" ""), ROW()-ROW($E$697)+1)
"),"kung")</f>
        <v>kung</v>
      </c>
      <c r="F715" s="30" t="s">
        <v>16</v>
      </c>
      <c r="G715" s="2"/>
      <c r="H715" s="1" t="s">
        <v>0</v>
      </c>
      <c r="I715" s="2"/>
      <c r="J715" s="2"/>
      <c r="K715" s="1" t="s">
        <v>15</v>
      </c>
    </row>
    <row r="716" ht="15.75" customHeight="1">
      <c r="A716" s="1">
        <v>715.0</v>
      </c>
      <c r="B716" s="1">
        <v>18.0</v>
      </c>
      <c r="C716" s="4" t="s">
        <v>41</v>
      </c>
      <c r="D716" s="5" t="str">
        <f>IFERROR(__xludf.DUMMYFUNCTION("LET(
  words, TRANSPOSE(SPLIT($C716,""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)"),"kayo kung puno na yung")</f>
        <v>kayo kung puno na yung</v>
      </c>
      <c r="E716" s="3" t="str">
        <f>IFERROR(__xludf.DUMMYFUNCTION("INDEX(SPLIT($C716,"" ""), ROW()-ROW($E$697)+1)
"),"puno")</f>
        <v>puno</v>
      </c>
      <c r="F716" s="30" t="s">
        <v>16</v>
      </c>
      <c r="G716" s="2"/>
      <c r="H716" s="1" t="s">
        <v>0</v>
      </c>
      <c r="I716" s="2"/>
      <c r="J716" s="2"/>
      <c r="K716" s="1" t="s">
        <v>15</v>
      </c>
    </row>
    <row r="717" ht="15.75" customHeight="1">
      <c r="A717" s="1">
        <v>716.0</v>
      </c>
      <c r="B717" s="1">
        <v>18.0</v>
      </c>
      <c r="C717" s="4" t="s">
        <v>41</v>
      </c>
      <c r="D717" s="5" t="str">
        <f>IFERROR(__xludf.DUMMYFUNCTION("LET(
  words, TRANSPOSE(SPLIT($C717,""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)"),"kung puno na yung court")</f>
        <v>kung puno na yung court</v>
      </c>
      <c r="E717" s="3" t="str">
        <f>IFERROR(__xludf.DUMMYFUNCTION("INDEX(SPLIT($C717,"" ""), ROW()-ROW($E$697)+1)
"),"na")</f>
        <v>na</v>
      </c>
      <c r="F717" s="30" t="s">
        <v>16</v>
      </c>
      <c r="G717" s="2"/>
      <c r="H717" s="1" t="s">
        <v>0</v>
      </c>
      <c r="I717" s="2"/>
      <c r="J717" s="2"/>
      <c r="K717" s="1" t="s">
        <v>15</v>
      </c>
    </row>
    <row r="718" ht="15.75" customHeight="1">
      <c r="A718" s="1">
        <v>717.0</v>
      </c>
      <c r="B718" s="1">
        <v>18.0</v>
      </c>
      <c r="C718" s="4" t="s">
        <v>41</v>
      </c>
      <c r="D718" s="5" t="str">
        <f>IFERROR(__xludf.DUMMYFUNCTION("LET(
  words, TRANSPOSE(SPLIT($C718,""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)"),"puno na yung court")</f>
        <v>puno na yung court</v>
      </c>
      <c r="E718" s="3" t="str">
        <f>IFERROR(__xludf.DUMMYFUNCTION("INDEX(SPLIT($C718,"" ""), ROW()-ROW($E$697)+1)
"),"yung")</f>
        <v>yung</v>
      </c>
      <c r="F718" s="30" t="s">
        <v>16</v>
      </c>
      <c r="G718" s="2"/>
      <c r="H718" s="1" t="s">
        <v>0</v>
      </c>
      <c r="I718" s="2"/>
      <c r="J718" s="2"/>
      <c r="K718" s="1" t="s">
        <v>15</v>
      </c>
    </row>
    <row r="719" ht="15.75" customHeight="1">
      <c r="A719" s="10">
        <v>718.0</v>
      </c>
      <c r="B719" s="10">
        <v>18.0</v>
      </c>
      <c r="C719" s="7" t="s">
        <v>41</v>
      </c>
      <c r="D719" s="8" t="str">
        <f>IFERROR(__xludf.DUMMYFUNCTION("LET(
  words, TRANSPOSE(SPLIT($C719,"" "")),
  n, ROWS(words),
  i, ROW() - ROW($D$697)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yung court")</f>
        <v>na yung court</v>
      </c>
      <c r="E719" s="9" t="str">
        <f>IFERROR(__xludf.DUMMYFUNCTION("INDEX(SPLIT($C719,"" ""), ROW()-ROW($E$697)+1)
"),"court")</f>
        <v>court</v>
      </c>
      <c r="F719" s="32" t="s">
        <v>18</v>
      </c>
      <c r="G719" s="6"/>
      <c r="H719" s="10" t="s">
        <v>0</v>
      </c>
      <c r="I719" s="6"/>
      <c r="J719" s="6"/>
      <c r="K719" s="10" t="s">
        <v>15</v>
      </c>
      <c r="L719" s="6"/>
    </row>
    <row r="720" ht="15.75" customHeight="1">
      <c r="A720" s="1">
        <v>719.0</v>
      </c>
      <c r="B720" s="1">
        <v>19.0</v>
      </c>
      <c r="C720" s="4" t="s">
        <v>42</v>
      </c>
      <c r="D720" s="5" t="str">
        <f>IFERROR(__xludf.DUMMYFUNCTION("LET(
  words, TRANSPOSE(SPLIT($C720,""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)"),"Just wanna ask")</f>
        <v>Just wanna ask</v>
      </c>
      <c r="E720" s="3" t="str">
        <f>IFERROR(__xludf.DUMMYFUNCTION("INDEX(SPLIT($C720,"" ""), ROW()-ROW($E$720)+1)
"),"Just")</f>
        <v>Just</v>
      </c>
      <c r="F720" s="30" t="s">
        <v>18</v>
      </c>
      <c r="G720" s="2"/>
      <c r="H720" s="1" t="s">
        <v>0</v>
      </c>
      <c r="I720" s="2"/>
      <c r="J720" s="2"/>
      <c r="K720" s="1" t="s">
        <v>15</v>
      </c>
    </row>
    <row r="721" ht="15.75" customHeight="1">
      <c r="A721" s="1">
        <v>720.0</v>
      </c>
      <c r="B721" s="1">
        <v>19.0</v>
      </c>
      <c r="C721" s="4" t="s">
        <v>42</v>
      </c>
      <c r="D721" s="5" t="str">
        <f>IFERROR(__xludf.DUMMYFUNCTION("LET(
  words, TRANSPOSE(SPLIT($C721,""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)"),"Just wanna ask on")</f>
        <v>Just wanna ask on</v>
      </c>
      <c r="E721" s="3" t="str">
        <f>IFERROR(__xludf.DUMMYFUNCTION("INDEX(SPLIT($C721,"" ""), ROW()-ROW($E$720)+1)
"),"wanna")</f>
        <v>wanna</v>
      </c>
      <c r="F721" s="30" t="s">
        <v>18</v>
      </c>
      <c r="G721" s="2"/>
      <c r="H721" s="1" t="s">
        <v>0</v>
      </c>
      <c r="I721" s="2"/>
      <c r="J721" s="2"/>
      <c r="K721" s="1" t="s">
        <v>15</v>
      </c>
    </row>
    <row r="722" ht="15.75" customHeight="1">
      <c r="A722" s="1">
        <v>721.0</v>
      </c>
      <c r="B722" s="1">
        <v>19.0</v>
      </c>
      <c r="C722" s="4" t="s">
        <v>42</v>
      </c>
      <c r="D722" s="5" t="str">
        <f>IFERROR(__xludf.DUMMYFUNCTION("LET(
  words, TRANSPOSE(SPLIT($C722,""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)"),"Just wanna ask on how")</f>
        <v>Just wanna ask on how</v>
      </c>
      <c r="E722" s="3" t="str">
        <f>IFERROR(__xludf.DUMMYFUNCTION("INDEX(SPLIT($C722,"" ""), ROW()-ROW($E$720)+1)
"),"ask")</f>
        <v>ask</v>
      </c>
      <c r="F722" s="30" t="s">
        <v>18</v>
      </c>
      <c r="G722" s="2"/>
      <c r="H722" s="1" t="s">
        <v>0</v>
      </c>
      <c r="I722" s="2"/>
      <c r="J722" s="2"/>
      <c r="K722" s="1" t="s">
        <v>15</v>
      </c>
    </row>
    <row r="723" ht="15.75" customHeight="1">
      <c r="A723" s="1">
        <v>722.0</v>
      </c>
      <c r="B723" s="1">
        <v>19.0</v>
      </c>
      <c r="C723" s="4" t="s">
        <v>42</v>
      </c>
      <c r="D723" s="5" t="str">
        <f>IFERROR(__xludf.DUMMYFUNCTION("LET(
  words, TRANSPOSE(SPLIT($C723,""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)"),"wanna ask on how enlistment")</f>
        <v>wanna ask on how enlistment</v>
      </c>
      <c r="E723" s="3" t="str">
        <f>IFERROR(__xludf.DUMMYFUNCTION("INDEX(SPLIT($C723,"" ""), ROW()-ROW($E$720)+1)
"),"on")</f>
        <v>on</v>
      </c>
      <c r="F723" s="30" t="s">
        <v>18</v>
      </c>
      <c r="G723" s="2"/>
      <c r="H723" s="1" t="s">
        <v>0</v>
      </c>
      <c r="I723" s="2"/>
      <c r="J723" s="2"/>
      <c r="K723" s="1" t="s">
        <v>15</v>
      </c>
    </row>
    <row r="724" ht="15.75" customHeight="1">
      <c r="A724" s="1">
        <v>723.0</v>
      </c>
      <c r="B724" s="1">
        <v>19.0</v>
      </c>
      <c r="C724" s="4" t="s">
        <v>42</v>
      </c>
      <c r="D724" s="5" t="str">
        <f>IFERROR(__xludf.DUMMYFUNCTION("LET(
  words, TRANSPOSE(SPLIT($C724,""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)"),"ask on how enlistment is")</f>
        <v>ask on how enlistment is</v>
      </c>
      <c r="E724" s="3" t="str">
        <f>IFERROR(__xludf.DUMMYFUNCTION("INDEX(SPLIT($C724,"" ""), ROW()-ROW($E$720)+1)
"),"how")</f>
        <v>how</v>
      </c>
      <c r="F724" s="30" t="s">
        <v>18</v>
      </c>
      <c r="G724" s="2"/>
      <c r="H724" s="1" t="s">
        <v>0</v>
      </c>
      <c r="I724" s="2"/>
      <c r="J724" s="2"/>
      <c r="K724" s="1" t="s">
        <v>15</v>
      </c>
    </row>
    <row r="725" ht="15.75" customHeight="1">
      <c r="A725" s="1">
        <v>724.0</v>
      </c>
      <c r="B725" s="1">
        <v>19.0</v>
      </c>
      <c r="C725" s="4" t="s">
        <v>42</v>
      </c>
      <c r="D725" s="5" t="str">
        <f>IFERROR(__xludf.DUMMYFUNCTION("LET(
  words, TRANSPOSE(SPLIT($C725,""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)"),"on how enlistment is going")</f>
        <v>on how enlistment is going</v>
      </c>
      <c r="E725" s="3" t="str">
        <f>IFERROR(__xludf.DUMMYFUNCTION("INDEX(SPLIT($C725,"" ""), ROW()-ROW($E$720)+1)
"),"enlistment")</f>
        <v>enlistment</v>
      </c>
      <c r="F725" s="30" t="s">
        <v>18</v>
      </c>
      <c r="G725" s="2"/>
      <c r="H725" s="1" t="s">
        <v>0</v>
      </c>
      <c r="I725" s="2"/>
      <c r="J725" s="2"/>
      <c r="K725" s="1" t="s">
        <v>15</v>
      </c>
    </row>
    <row r="726" ht="15.75" customHeight="1">
      <c r="A726" s="1">
        <v>725.0</v>
      </c>
      <c r="B726" s="1">
        <v>19.0</v>
      </c>
      <c r="C726" s="4" t="s">
        <v>42</v>
      </c>
      <c r="D726" s="5" t="str">
        <f>IFERROR(__xludf.DUMMYFUNCTION("LET(
  words, TRANSPOSE(SPLIT($C726,""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)"),"how enlistment is going for")</f>
        <v>how enlistment is going for</v>
      </c>
      <c r="E726" s="3" t="str">
        <f>IFERROR(__xludf.DUMMYFUNCTION("INDEX(SPLIT($C726,"" ""), ROW()-ROW($E$720)+1)
"),"is")</f>
        <v>is</v>
      </c>
      <c r="F726" s="30" t="s">
        <v>18</v>
      </c>
      <c r="G726" s="2"/>
      <c r="H726" s="1" t="s">
        <v>0</v>
      </c>
      <c r="I726" s="2"/>
      <c r="J726" s="2"/>
      <c r="K726" s="1" t="s">
        <v>15</v>
      </c>
    </row>
    <row r="727" ht="15.75" customHeight="1">
      <c r="A727" s="1">
        <v>726.0</v>
      </c>
      <c r="B727" s="1">
        <v>19.0</v>
      </c>
      <c r="C727" s="4" t="s">
        <v>42</v>
      </c>
      <c r="D727" s="5" t="str">
        <f>IFERROR(__xludf.DUMMYFUNCTION("LET(
  words, TRANSPOSE(SPLIT($C727,""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)"),"enlistment is going for all")</f>
        <v>enlistment is going for all</v>
      </c>
      <c r="E727" s="3" t="str">
        <f>IFERROR(__xludf.DUMMYFUNCTION("INDEX(SPLIT($C727,"" ""), ROW()-ROW($E$720)+1)
"),"going")</f>
        <v>going</v>
      </c>
      <c r="F727" s="30" t="s">
        <v>18</v>
      </c>
      <c r="G727" s="2"/>
      <c r="H727" s="1" t="s">
        <v>0</v>
      </c>
      <c r="I727" s="2"/>
      <c r="J727" s="2"/>
      <c r="K727" s="1" t="s">
        <v>15</v>
      </c>
    </row>
    <row r="728" ht="15.75" customHeight="1">
      <c r="A728" s="1">
        <v>727.0</v>
      </c>
      <c r="B728" s="1">
        <v>19.0</v>
      </c>
      <c r="C728" s="4" t="s">
        <v>42</v>
      </c>
      <c r="D728" s="5" t="str">
        <f>IFERROR(__xludf.DUMMYFUNCTION("LET(
  words, TRANSPOSE(SPLIT($C728,""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)"),"is going for all of")</f>
        <v>is going for all of</v>
      </c>
      <c r="E728" s="3" t="str">
        <f>IFERROR(__xludf.DUMMYFUNCTION("INDEX(SPLIT($C728,"" ""), ROW()-ROW($E$720)+1)
"),"for")</f>
        <v>for</v>
      </c>
      <c r="F728" s="30" t="s">
        <v>18</v>
      </c>
      <c r="G728" s="2"/>
      <c r="H728" s="1" t="s">
        <v>0</v>
      </c>
      <c r="I728" s="2"/>
      <c r="J728" s="2"/>
      <c r="K728" s="1" t="s">
        <v>15</v>
      </c>
    </row>
    <row r="729" ht="15.75" customHeight="1">
      <c r="A729" s="1">
        <v>728.0</v>
      </c>
      <c r="B729" s="1">
        <v>19.0</v>
      </c>
      <c r="C729" s="4" t="s">
        <v>42</v>
      </c>
      <c r="D729" s="5" t="str">
        <f>IFERROR(__xludf.DUMMYFUNCTION("LET(
  words, TRANSPOSE(SPLIT($C729,""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)"),"going for all of you")</f>
        <v>going for all of you</v>
      </c>
      <c r="E729" s="3" t="str">
        <f>IFERROR(__xludf.DUMMYFUNCTION("INDEX(SPLIT($C729,"" ""), ROW()-ROW($E$720)+1)
"),"all")</f>
        <v>all</v>
      </c>
      <c r="F729" s="30" t="s">
        <v>18</v>
      </c>
      <c r="G729" s="2"/>
      <c r="H729" s="1" t="s">
        <v>0</v>
      </c>
      <c r="I729" s="2"/>
      <c r="J729" s="2"/>
      <c r="K729" s="1" t="s">
        <v>15</v>
      </c>
    </row>
    <row r="730" ht="15.75" customHeight="1">
      <c r="A730" s="1">
        <v>729.0</v>
      </c>
      <c r="B730" s="1">
        <v>19.0</v>
      </c>
      <c r="C730" s="4" t="s">
        <v>42</v>
      </c>
      <c r="D730" s="5" t="str">
        <f>IFERROR(__xludf.DUMMYFUNCTION("LET(
  words, TRANSPOSE(SPLIT($C730,""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)"),"for all of you ?")</f>
        <v>for all of you ?</v>
      </c>
      <c r="E730" s="3" t="str">
        <f>IFERROR(__xludf.DUMMYFUNCTION("INDEX(SPLIT($C730,"" ""), ROW()-ROW($E$720)+1)
"),"of")</f>
        <v>of</v>
      </c>
      <c r="F730" s="30" t="s">
        <v>18</v>
      </c>
      <c r="G730" s="2"/>
      <c r="H730" s="1" t="s">
        <v>0</v>
      </c>
      <c r="I730" s="2"/>
      <c r="J730" s="2"/>
      <c r="K730" s="1" t="s">
        <v>15</v>
      </c>
    </row>
    <row r="731" ht="15.75" customHeight="1">
      <c r="A731" s="1">
        <v>730.0</v>
      </c>
      <c r="B731" s="1">
        <v>19.0</v>
      </c>
      <c r="C731" s="4" t="s">
        <v>42</v>
      </c>
      <c r="D731" s="5" t="str">
        <f>IFERROR(__xludf.DUMMYFUNCTION("LET(
  words, TRANSPOSE(SPLIT($C731,""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)"),"all of you ? Lahat")</f>
        <v>all of you ? Lahat</v>
      </c>
      <c r="E731" s="3" t="str">
        <f>IFERROR(__xludf.DUMMYFUNCTION("INDEX(SPLIT($C731,"" ""), ROW()-ROW($E$720)+1)
"),"you")</f>
        <v>you</v>
      </c>
      <c r="F731" s="30" t="s">
        <v>18</v>
      </c>
      <c r="G731" s="2"/>
      <c r="H731" s="1" t="s">
        <v>0</v>
      </c>
      <c r="I731" s="2"/>
      <c r="J731" s="2"/>
      <c r="K731" s="1" t="s">
        <v>15</v>
      </c>
    </row>
    <row r="732" ht="15.75" customHeight="1">
      <c r="A732" s="1">
        <v>731.0</v>
      </c>
      <c r="B732" s="1">
        <v>19.0</v>
      </c>
      <c r="C732" s="4" t="s">
        <v>42</v>
      </c>
      <c r="D732" s="5" t="str">
        <f>IFERROR(__xludf.DUMMYFUNCTION("LET(
  words, TRANSPOSE(SPLIT($C732,""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)"),"of you ? Lahat ba")</f>
        <v>of you ? Lahat ba</v>
      </c>
      <c r="E732" s="3" t="str">
        <f>IFERROR(__xludf.DUMMYFUNCTION("INDEX(SPLIT($C732,"" ""), ROW()-ROW($E$720)+1)
"),"?")</f>
        <v>?</v>
      </c>
      <c r="F732" s="30" t="s">
        <v>17</v>
      </c>
      <c r="G732" s="2"/>
      <c r="H732" s="1" t="s">
        <v>0</v>
      </c>
      <c r="I732" s="2"/>
      <c r="J732" s="2"/>
      <c r="K732" s="1" t="s">
        <v>15</v>
      </c>
    </row>
    <row r="733" ht="15.75" customHeight="1">
      <c r="A733" s="1">
        <v>732.0</v>
      </c>
      <c r="B733" s="1">
        <v>19.0</v>
      </c>
      <c r="C733" s="4" t="s">
        <v>42</v>
      </c>
      <c r="D733" s="5" t="str">
        <f>IFERROR(__xludf.DUMMYFUNCTION("LET(
  words, TRANSPOSE(SPLIT($C733,""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)"),"you ? Lahat ba nakakuha")</f>
        <v>you ? Lahat ba nakakuha</v>
      </c>
      <c r="E733" s="3" t="str">
        <f>IFERROR(__xludf.DUMMYFUNCTION("INDEX(SPLIT($C733,"" ""), ROW()-ROW($E$720)+1)
"),"Lahat")</f>
        <v>Lahat</v>
      </c>
      <c r="F733" s="30" t="s">
        <v>16</v>
      </c>
      <c r="G733" s="2"/>
      <c r="H733" s="1" t="s">
        <v>0</v>
      </c>
      <c r="I733" s="2"/>
      <c r="J733" s="2"/>
      <c r="K733" s="1" t="s">
        <v>15</v>
      </c>
    </row>
    <row r="734" ht="15.75" customHeight="1">
      <c r="A734" s="1">
        <v>733.0</v>
      </c>
      <c r="B734" s="1">
        <v>19.0</v>
      </c>
      <c r="C734" s="4" t="s">
        <v>42</v>
      </c>
      <c r="D734" s="5" t="str">
        <f>IFERROR(__xludf.DUMMYFUNCTION("LET(
  words, TRANSPOSE(SPLIT($C734,""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)"),"? Lahat ba nakakuha ng")</f>
        <v>? Lahat ba nakakuha ng</v>
      </c>
      <c r="E734" s="3" t="str">
        <f>IFERROR(__xludf.DUMMYFUNCTION("INDEX(SPLIT($C734,"" ""), ROW()-ROW($E$720)+1)
"),"ba")</f>
        <v>ba</v>
      </c>
      <c r="F734" s="30" t="s">
        <v>16</v>
      </c>
      <c r="G734" s="2"/>
      <c r="H734" s="1" t="s">
        <v>0</v>
      </c>
      <c r="I734" s="2"/>
      <c r="J734" s="2"/>
      <c r="K734" s="1" t="s">
        <v>15</v>
      </c>
    </row>
    <row r="735" ht="15.75" customHeight="1">
      <c r="A735" s="1">
        <v>734.0</v>
      </c>
      <c r="B735" s="1">
        <v>19.0</v>
      </c>
      <c r="C735" s="4" t="s">
        <v>42</v>
      </c>
      <c r="D735" s="5" t="str">
        <f>IFERROR(__xludf.DUMMYFUNCTION("LET(
  words, TRANSPOSE(SPLIT($C735,""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)"),"Lahat ba nakakuha ng desired")</f>
        <v>Lahat ba nakakuha ng desired</v>
      </c>
      <c r="E735" s="3" t="str">
        <f>IFERROR(__xludf.DUMMYFUNCTION("INDEX(SPLIT($C735,"" ""), ROW()-ROW($E$720)+1)
"),"nakakuha")</f>
        <v>nakakuha</v>
      </c>
      <c r="F735" s="30" t="s">
        <v>16</v>
      </c>
      <c r="G735" s="2"/>
      <c r="H735" s="1" t="s">
        <v>0</v>
      </c>
      <c r="I735" s="2"/>
      <c r="J735" s="2"/>
      <c r="K735" s="1" t="s">
        <v>15</v>
      </c>
    </row>
    <row r="736" ht="15.75" customHeight="1">
      <c r="A736" s="1">
        <v>735.0</v>
      </c>
      <c r="B736" s="1">
        <v>19.0</v>
      </c>
      <c r="C736" s="4" t="s">
        <v>42</v>
      </c>
      <c r="D736" s="5" t="str">
        <f>IFERROR(__xludf.DUMMYFUNCTION("LET(
  words, TRANSPOSE(SPLIT($C736,""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)"),"ba nakakuha ng desired scheds")</f>
        <v>ba nakakuha ng desired scheds</v>
      </c>
      <c r="E736" s="3" t="str">
        <f>IFERROR(__xludf.DUMMYFUNCTION("INDEX(SPLIT($C736,"" ""), ROW()-ROW($E$720)+1)
"),"ng")</f>
        <v>ng</v>
      </c>
      <c r="F736" s="30" t="s">
        <v>16</v>
      </c>
      <c r="G736" s="2"/>
      <c r="H736" s="1" t="s">
        <v>0</v>
      </c>
      <c r="I736" s="2"/>
      <c r="J736" s="2"/>
      <c r="K736" s="1" t="s">
        <v>15</v>
      </c>
    </row>
    <row r="737" ht="15.75" customHeight="1">
      <c r="A737" s="1">
        <v>736.0</v>
      </c>
      <c r="B737" s="1">
        <v>19.0</v>
      </c>
      <c r="C737" s="4" t="s">
        <v>42</v>
      </c>
      <c r="D737" s="5" t="str">
        <f>IFERROR(__xludf.DUMMYFUNCTION("LET(
  words, TRANSPOSE(SPLIT($C737,""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)"),"nakakuha ng desired scheds nila")</f>
        <v>nakakuha ng desired scheds nila</v>
      </c>
      <c r="E737" s="3" t="str">
        <f>IFERROR(__xludf.DUMMYFUNCTION("INDEX(SPLIT($C737,"" ""), ROW()-ROW($E$720)+1)
"),"desired")</f>
        <v>desired</v>
      </c>
      <c r="F737" s="30" t="s">
        <v>18</v>
      </c>
      <c r="G737" s="2"/>
      <c r="H737" s="1" t="s">
        <v>0</v>
      </c>
      <c r="I737" s="2"/>
      <c r="J737" s="2"/>
      <c r="K737" s="1" t="s">
        <v>15</v>
      </c>
    </row>
    <row r="738" ht="15.75" customHeight="1">
      <c r="A738" s="1">
        <v>737.0</v>
      </c>
      <c r="B738" s="1">
        <v>19.0</v>
      </c>
      <c r="C738" s="4" t="s">
        <v>42</v>
      </c>
      <c r="D738" s="5" t="str">
        <f>IFERROR(__xludf.DUMMYFUNCTION("LET(
  words, TRANSPOSE(SPLIT($C738,""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)"),"ng desired scheds nila ?")</f>
        <v>ng desired scheds nila ?</v>
      </c>
      <c r="E738" s="3" t="str">
        <f>IFERROR(__xludf.DUMMYFUNCTION("INDEX(SPLIT($C738,"" ""), ROW()-ROW($E$720)+1)
"),"scheds")</f>
        <v>scheds</v>
      </c>
      <c r="F738" s="30" t="s">
        <v>18</v>
      </c>
      <c r="G738" s="1" t="s">
        <v>19</v>
      </c>
      <c r="H738" s="1" t="s">
        <v>0</v>
      </c>
      <c r="I738" s="2"/>
      <c r="J738" s="2"/>
      <c r="K738" s="1" t="s">
        <v>15</v>
      </c>
    </row>
    <row r="739" ht="15.75" customHeight="1">
      <c r="A739" s="1">
        <v>738.0</v>
      </c>
      <c r="B739" s="1">
        <v>19.0</v>
      </c>
      <c r="C739" s="4" t="s">
        <v>42</v>
      </c>
      <c r="D739" s="5" t="str">
        <f>IFERROR(__xludf.DUMMYFUNCTION("LET(
  words, TRANSPOSE(SPLIT($C739,""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)"),"desired scheds nila ? Profs")</f>
        <v>desired scheds nila ? Profs</v>
      </c>
      <c r="E739" s="3" t="str">
        <f>IFERROR(__xludf.DUMMYFUNCTION("INDEX(SPLIT($C739,"" ""), ROW()-ROW($E$720)+1)
"),"nila")</f>
        <v>nila</v>
      </c>
      <c r="F739" s="30" t="s">
        <v>16</v>
      </c>
      <c r="G739" s="2"/>
      <c r="H739" s="1" t="s">
        <v>0</v>
      </c>
      <c r="I739" s="2"/>
      <c r="J739" s="2"/>
      <c r="K739" s="1" t="s">
        <v>15</v>
      </c>
    </row>
    <row r="740" ht="15.75" customHeight="1">
      <c r="A740" s="1">
        <v>739.0</v>
      </c>
      <c r="B740" s="1">
        <v>19.0</v>
      </c>
      <c r="C740" s="4" t="s">
        <v>42</v>
      </c>
      <c r="D740" s="5" t="str">
        <f>IFERROR(__xludf.DUMMYFUNCTION("LET(
  words, TRANSPOSE(SPLIT($C740,""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)"),"scheds nila ? Profs ?")</f>
        <v>scheds nila ? Profs ?</v>
      </c>
      <c r="E740" s="3" t="str">
        <f>IFERROR(__xludf.DUMMYFUNCTION("INDEX(SPLIT($C740,"" ""), ROW()-ROW($E$720)+1)
"),"?")</f>
        <v>?</v>
      </c>
      <c r="F740" s="30" t="s">
        <v>17</v>
      </c>
      <c r="G740" s="2"/>
      <c r="H740" s="1" t="s">
        <v>0</v>
      </c>
      <c r="I740" s="2"/>
      <c r="J740" s="2"/>
      <c r="K740" s="1" t="s">
        <v>15</v>
      </c>
    </row>
    <row r="741" ht="15.75" customHeight="1">
      <c r="A741" s="1">
        <v>740.0</v>
      </c>
      <c r="B741" s="1">
        <v>19.0</v>
      </c>
      <c r="C741" s="4" t="s">
        <v>42</v>
      </c>
      <c r="D741" s="5" t="str">
        <f>IFERROR(__xludf.DUMMYFUNCTION("LET(
  words, TRANSPOSE(SPLIT($C741,""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)"),"nila ? Profs ? Nagkaroon")</f>
        <v>nila ? Profs ? Nagkaroon</v>
      </c>
      <c r="E741" s="3" t="str">
        <f>IFERROR(__xludf.DUMMYFUNCTION("INDEX(SPLIT($C741,"" ""), ROW()-ROW($E$720)+1)
"),"Profs")</f>
        <v>Profs</v>
      </c>
      <c r="F741" s="30" t="s">
        <v>18</v>
      </c>
      <c r="G741" s="1" t="s">
        <v>19</v>
      </c>
      <c r="H741" s="1" t="s">
        <v>0</v>
      </c>
      <c r="I741" s="2"/>
      <c r="J741" s="2"/>
      <c r="K741" s="1" t="s">
        <v>15</v>
      </c>
    </row>
    <row r="742" ht="15.75" customHeight="1">
      <c r="A742" s="1">
        <v>741.0</v>
      </c>
      <c r="B742" s="1">
        <v>19.0</v>
      </c>
      <c r="C742" s="4" t="s">
        <v>42</v>
      </c>
      <c r="D742" s="5" t="str">
        <f>IFERROR(__xludf.DUMMYFUNCTION("LET(
  words, TRANSPOSE(SPLIT($C742,""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)"),"? Profs ? Nagkaroon ba")</f>
        <v>? Profs ? Nagkaroon ba</v>
      </c>
      <c r="E742" s="3" t="str">
        <f>IFERROR(__xludf.DUMMYFUNCTION("INDEX(SPLIT($C742,"" ""), ROW()-ROW($E$720)+1)
"),"?")</f>
        <v>?</v>
      </c>
      <c r="F742" s="30" t="s">
        <v>17</v>
      </c>
      <c r="G742" s="2"/>
      <c r="H742" s="1" t="s">
        <v>0</v>
      </c>
      <c r="I742" s="2"/>
      <c r="J742" s="2"/>
      <c r="K742" s="1" t="s">
        <v>15</v>
      </c>
    </row>
    <row r="743" ht="15.75" customHeight="1">
      <c r="A743" s="1">
        <v>742.0</v>
      </c>
      <c r="B743" s="1">
        <v>19.0</v>
      </c>
      <c r="C743" s="4" t="s">
        <v>42</v>
      </c>
      <c r="D743" s="5" t="str">
        <f>IFERROR(__xludf.DUMMYFUNCTION("LET(
  words, TRANSPOSE(SPLIT($C743,""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)"),"Profs ? Nagkaroon ba kayo")</f>
        <v>Profs ? Nagkaroon ba kayo</v>
      </c>
      <c r="E743" s="3" t="str">
        <f>IFERROR(__xludf.DUMMYFUNCTION("INDEX(SPLIT($C743,"" ""), ROW()-ROW($E$720)+1)
"),"Nagkaroon")</f>
        <v>Nagkaroon</v>
      </c>
      <c r="F743" s="30" t="s">
        <v>16</v>
      </c>
      <c r="G743" s="2"/>
      <c r="H743" s="1" t="s">
        <v>0</v>
      </c>
      <c r="I743" s="2"/>
      <c r="J743" s="2"/>
      <c r="K743" s="1" t="s">
        <v>15</v>
      </c>
    </row>
    <row r="744" ht="15.75" customHeight="1">
      <c r="A744" s="1">
        <v>743.0</v>
      </c>
      <c r="B744" s="1">
        <v>19.0</v>
      </c>
      <c r="C744" s="4" t="s">
        <v>42</v>
      </c>
      <c r="D744" s="5" t="str">
        <f>IFERROR(__xludf.DUMMYFUNCTION("LET(
  words, TRANSPOSE(SPLIT($C744,""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)"),"? Nagkaroon ba kayo ng")</f>
        <v>? Nagkaroon ba kayo ng</v>
      </c>
      <c r="E744" s="3" t="str">
        <f>IFERROR(__xludf.DUMMYFUNCTION("INDEX(SPLIT($C744,"" ""), ROW()-ROW($E$720)+1)
"),"ba")</f>
        <v>ba</v>
      </c>
      <c r="F744" s="30" t="s">
        <v>16</v>
      </c>
      <c r="G744" s="2"/>
      <c r="H744" s="1" t="s">
        <v>0</v>
      </c>
      <c r="I744" s="2"/>
      <c r="J744" s="2"/>
      <c r="K744" s="1" t="s">
        <v>15</v>
      </c>
    </row>
    <row r="745" ht="15.75" customHeight="1">
      <c r="A745" s="1">
        <v>744.0</v>
      </c>
      <c r="B745" s="1">
        <v>19.0</v>
      </c>
      <c r="C745" s="4" t="s">
        <v>42</v>
      </c>
      <c r="D745" s="5" t="str">
        <f>IFERROR(__xludf.DUMMYFUNCTION("LET(
  words, TRANSPOSE(SPLIT($C745,""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)"),"Nagkaroon ba kayo ng problems")</f>
        <v>Nagkaroon ba kayo ng problems</v>
      </c>
      <c r="E745" s="3" t="str">
        <f>IFERROR(__xludf.DUMMYFUNCTION("INDEX(SPLIT($C745,"" ""), ROW()-ROW($E$720)+1)
"),"kayo")</f>
        <v>kayo</v>
      </c>
      <c r="F745" s="30" t="s">
        <v>16</v>
      </c>
      <c r="G745" s="2"/>
      <c r="H745" s="1" t="s">
        <v>0</v>
      </c>
      <c r="I745" s="2"/>
      <c r="J745" s="2"/>
      <c r="K745" s="1" t="s">
        <v>15</v>
      </c>
    </row>
    <row r="746" ht="15.75" customHeight="1">
      <c r="A746" s="1">
        <v>745.0</v>
      </c>
      <c r="B746" s="1">
        <v>19.0</v>
      </c>
      <c r="C746" s="4" t="s">
        <v>42</v>
      </c>
      <c r="D746" s="5" t="str">
        <f>IFERROR(__xludf.DUMMYFUNCTION("LET(
  words, TRANSPOSE(SPLIT($C746,""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)"),"ba kayo ng problems ?")</f>
        <v>ba kayo ng problems ?</v>
      </c>
      <c r="E746" s="3" t="str">
        <f>IFERROR(__xludf.DUMMYFUNCTION("INDEX(SPLIT($C746,"" ""), ROW()-ROW($E$720)+1)
"),"ng")</f>
        <v>ng</v>
      </c>
      <c r="F746" s="30" t="s">
        <v>16</v>
      </c>
      <c r="G746" s="2"/>
      <c r="H746" s="1" t="s">
        <v>0</v>
      </c>
      <c r="I746" s="2"/>
      <c r="J746" s="2"/>
      <c r="K746" s="1" t="s">
        <v>15</v>
      </c>
    </row>
    <row r="747" ht="15.75" customHeight="1">
      <c r="A747" s="1">
        <v>746.0</v>
      </c>
      <c r="B747" s="1">
        <v>19.0</v>
      </c>
      <c r="C747" s="4" t="s">
        <v>42</v>
      </c>
      <c r="D747" s="5" t="str">
        <f>IFERROR(__xludf.DUMMYFUNCTION("LET(
  words, TRANSPOSE(SPLIT($C747,""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)"),"kayo ng problems ? Feel")</f>
        <v>kayo ng problems ? Feel</v>
      </c>
      <c r="E747" s="3" t="str">
        <f>IFERROR(__xludf.DUMMYFUNCTION("INDEX(SPLIT($C747,"" ""), ROW()-ROW($E$720)+1)
"),"problems")</f>
        <v>problems</v>
      </c>
      <c r="F747" s="30" t="s">
        <v>18</v>
      </c>
      <c r="G747" s="2"/>
      <c r="H747" s="1" t="s">
        <v>0</v>
      </c>
      <c r="I747" s="2"/>
      <c r="J747" s="2"/>
      <c r="K747" s="1" t="s">
        <v>15</v>
      </c>
    </row>
    <row r="748" ht="15.75" customHeight="1">
      <c r="A748" s="1">
        <v>747.0</v>
      </c>
      <c r="B748" s="1">
        <v>19.0</v>
      </c>
      <c r="C748" s="4" t="s">
        <v>42</v>
      </c>
      <c r="D748" s="5" t="str">
        <f>IFERROR(__xludf.DUMMYFUNCTION("LET(
  words, TRANSPOSE(SPLIT($C748,""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)"),"ng problems ? Feel free")</f>
        <v>ng problems ? Feel free</v>
      </c>
      <c r="E748" s="3" t="str">
        <f>IFERROR(__xludf.DUMMYFUNCTION("INDEX(SPLIT($C748,"" ""), ROW()-ROW($E$720)+1)
"),"?")</f>
        <v>?</v>
      </c>
      <c r="F748" s="30" t="s">
        <v>17</v>
      </c>
      <c r="G748" s="2"/>
      <c r="H748" s="1" t="s">
        <v>0</v>
      </c>
      <c r="I748" s="2"/>
      <c r="J748" s="2"/>
      <c r="K748" s="1" t="s">
        <v>15</v>
      </c>
    </row>
    <row r="749" ht="15.75" customHeight="1">
      <c r="A749" s="1">
        <v>748.0</v>
      </c>
      <c r="B749" s="1">
        <v>19.0</v>
      </c>
      <c r="C749" s="4" t="s">
        <v>42</v>
      </c>
      <c r="D749" s="5" t="str">
        <f>IFERROR(__xludf.DUMMYFUNCTION("LET(
  words, TRANSPOSE(SPLIT($C749,""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)"),"problems ? Feel free to")</f>
        <v>problems ? Feel free to</v>
      </c>
      <c r="E749" s="3" t="str">
        <f>IFERROR(__xludf.DUMMYFUNCTION("INDEX(SPLIT($C749,"" ""), ROW()-ROW($E$720)+1)
"),"Feel")</f>
        <v>Feel</v>
      </c>
      <c r="F749" s="30" t="s">
        <v>18</v>
      </c>
      <c r="G749" s="2"/>
      <c r="H749" s="1" t="s">
        <v>0</v>
      </c>
      <c r="I749" s="2"/>
      <c r="J749" s="2"/>
      <c r="K749" s="1" t="s">
        <v>15</v>
      </c>
    </row>
    <row r="750" ht="15.75" customHeight="1">
      <c r="A750" s="1">
        <v>749.0</v>
      </c>
      <c r="B750" s="1">
        <v>19.0</v>
      </c>
      <c r="C750" s="4" t="s">
        <v>42</v>
      </c>
      <c r="D750" s="5" t="str">
        <f>IFERROR(__xludf.DUMMYFUNCTION("LET(
  words, TRANSPOSE(SPLIT($C750,""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)"),"? Feel free to chat")</f>
        <v>? Feel free to chat</v>
      </c>
      <c r="E750" s="3" t="str">
        <f>IFERROR(__xludf.DUMMYFUNCTION("INDEX(SPLIT($C750,"" ""), ROW()-ROW($E$720)+1)
"),"free")</f>
        <v>free</v>
      </c>
      <c r="F750" s="30" t="s">
        <v>18</v>
      </c>
      <c r="G750" s="2"/>
      <c r="H750" s="1" t="s">
        <v>0</v>
      </c>
      <c r="I750" s="2"/>
      <c r="J750" s="2"/>
      <c r="K750" s="1" t="s">
        <v>15</v>
      </c>
    </row>
    <row r="751" ht="15.75" customHeight="1">
      <c r="A751" s="1">
        <v>750.0</v>
      </c>
      <c r="B751" s="1">
        <v>19.0</v>
      </c>
      <c r="C751" s="4" t="s">
        <v>42</v>
      </c>
      <c r="D751" s="5" t="str">
        <f>IFERROR(__xludf.DUMMYFUNCTION("LET(
  words, TRANSPOSE(SPLIT($C751,""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)"),"Feel free to chat para")</f>
        <v>Feel free to chat para</v>
      </c>
      <c r="E751" s="3" t="str">
        <f>IFERROR(__xludf.DUMMYFUNCTION("INDEX(SPLIT($C751,"" ""), ROW()-ROW($E$720)+1)
"),"to")</f>
        <v>to</v>
      </c>
      <c r="F751" s="30" t="s">
        <v>18</v>
      </c>
      <c r="G751" s="2"/>
      <c r="H751" s="1" t="s">
        <v>0</v>
      </c>
      <c r="I751" s="2"/>
      <c r="J751" s="2"/>
      <c r="K751" s="1" t="s">
        <v>15</v>
      </c>
    </row>
    <row r="752" ht="15.75" customHeight="1">
      <c r="A752" s="1">
        <v>751.0</v>
      </c>
      <c r="B752" s="1">
        <v>19.0</v>
      </c>
      <c r="C752" s="4" t="s">
        <v>42</v>
      </c>
      <c r="D752" s="5" t="str">
        <f>IFERROR(__xludf.DUMMYFUNCTION("LET(
  words, TRANSPOSE(SPLIT($C752,""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)"),"free to chat para ma-address")</f>
        <v>free to chat para ma-address</v>
      </c>
      <c r="E752" s="3" t="str">
        <f>IFERROR(__xludf.DUMMYFUNCTION("INDEX(SPLIT($C752,"" ""), ROW()-ROW($E$720)+1)
"),"chat")</f>
        <v>chat</v>
      </c>
      <c r="F752" s="30" t="s">
        <v>18</v>
      </c>
      <c r="G752" s="2"/>
      <c r="H752" s="1" t="s">
        <v>0</v>
      </c>
      <c r="I752" s="2"/>
      <c r="J752" s="2"/>
      <c r="K752" s="1" t="s">
        <v>15</v>
      </c>
    </row>
    <row r="753" ht="15.75" customHeight="1">
      <c r="A753" s="1">
        <v>752.0</v>
      </c>
      <c r="B753" s="1">
        <v>19.0</v>
      </c>
      <c r="C753" s="4" t="s">
        <v>42</v>
      </c>
      <c r="D753" s="5" t="str">
        <f>IFERROR(__xludf.DUMMYFUNCTION("LET(
  words, TRANSPOSE(SPLIT($C753,""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)"),"to chat para ma-address salamat")</f>
        <v>to chat para ma-address salamat</v>
      </c>
      <c r="E753" s="3" t="str">
        <f>IFERROR(__xludf.DUMMYFUNCTION("INDEX(SPLIT($C753,"" ""), ROW()-ROW($E$720)+1)
"),"para")</f>
        <v>para</v>
      </c>
      <c r="F753" s="30" t="s">
        <v>16</v>
      </c>
      <c r="G753" s="2"/>
      <c r="H753" s="1" t="s">
        <v>0</v>
      </c>
      <c r="I753" s="2"/>
      <c r="J753" s="2"/>
      <c r="K753" s="1" t="s">
        <v>15</v>
      </c>
    </row>
    <row r="754" ht="15.75" customHeight="1">
      <c r="A754" s="1">
        <v>753.0</v>
      </c>
      <c r="B754" s="1">
        <v>19.0</v>
      </c>
      <c r="C754" s="4" t="s">
        <v>42</v>
      </c>
      <c r="D754" s="5" t="str">
        <f>IFERROR(__xludf.DUMMYFUNCTION("LET(
  words, TRANSPOSE(SPLIT($C754,""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)"),"chat para ma-address salamat much")</f>
        <v>chat para ma-address salamat much</v>
      </c>
      <c r="E754" s="3" t="str">
        <f>IFERROR(__xludf.DUMMYFUNCTION("INDEX(SPLIT($C754,"" ""), ROW()-ROW($E$720)+1)
"),"ma-address")</f>
        <v>ma-address</v>
      </c>
      <c r="F754" s="30" t="s">
        <v>23</v>
      </c>
      <c r="G754" s="2"/>
      <c r="H754" s="1" t="s">
        <v>0</v>
      </c>
      <c r="I754" s="2"/>
      <c r="J754" s="2"/>
      <c r="K754" s="1" t="s">
        <v>15</v>
      </c>
    </row>
    <row r="755" ht="15.75" customHeight="1">
      <c r="A755" s="1">
        <v>754.0</v>
      </c>
      <c r="B755" s="1">
        <v>19.0</v>
      </c>
      <c r="C755" s="4" t="s">
        <v>42</v>
      </c>
      <c r="D755" s="5" t="str">
        <f>IFERROR(__xludf.DUMMYFUNCTION("LET(
  words, TRANSPOSE(SPLIT($C755,""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)"),"para ma-address salamat much")</f>
        <v>para ma-address salamat much</v>
      </c>
      <c r="E755" s="3" t="str">
        <f>IFERROR(__xludf.DUMMYFUNCTION("INDEX(SPLIT($C755,"" ""), ROW()-ROW($E$720)+1)
"),"salamat")</f>
        <v>salamat</v>
      </c>
      <c r="F755" s="30" t="s">
        <v>16</v>
      </c>
      <c r="G755" s="2"/>
      <c r="H755" s="1" t="s">
        <v>0</v>
      </c>
      <c r="I755" s="2"/>
      <c r="J755" s="2"/>
      <c r="K755" s="1" t="s">
        <v>15</v>
      </c>
    </row>
    <row r="756" ht="15.75" customHeight="1">
      <c r="A756" s="10">
        <v>755.0</v>
      </c>
      <c r="B756" s="10">
        <v>19.0</v>
      </c>
      <c r="C756" s="7" t="s">
        <v>42</v>
      </c>
      <c r="D756" s="8" t="str">
        <f>IFERROR(__xludf.DUMMYFUNCTION("LET(
  words, TRANSPOSE(SPLIT($C756,"" "")),
  n, ROWS(words),
  i, ROW() - ROW($D$720)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)"),"ma-address salamat much")</f>
        <v>ma-address salamat much</v>
      </c>
      <c r="E756" s="9" t="str">
        <f>IFERROR(__xludf.DUMMYFUNCTION("INDEX(SPLIT($C756,"" ""), ROW()-ROW($E$720)+1)
"),"much")</f>
        <v>much</v>
      </c>
      <c r="F756" s="32" t="s">
        <v>18</v>
      </c>
      <c r="G756" s="6"/>
      <c r="H756" s="10" t="s">
        <v>0</v>
      </c>
      <c r="I756" s="6"/>
      <c r="J756" s="6"/>
      <c r="K756" s="10" t="s">
        <v>15</v>
      </c>
      <c r="L756" s="6"/>
    </row>
    <row r="757" ht="15.75" customHeight="1">
      <c r="A757" s="1">
        <v>756.0</v>
      </c>
      <c r="B757" s="1">
        <v>20.0</v>
      </c>
      <c r="C757" s="4" t="s">
        <v>43</v>
      </c>
      <c r="D757" s="5" t="str">
        <f>IFERROR(__xludf.DUMMYFUNCTION("LET(
  words, TRANSPOSE(SPLIT($C757,""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)"),"parang tatlo lang")</f>
        <v>parang tatlo lang</v>
      </c>
      <c r="E757" s="3" t="str">
        <f>IFERROR(__xludf.DUMMYFUNCTION("INDEX(SPLIT($C757,"" ""), ROW()-ROW($E$757)+1)
"),"parang")</f>
        <v>parang</v>
      </c>
      <c r="F757" s="30" t="s">
        <v>16</v>
      </c>
      <c r="G757" s="2"/>
      <c r="H757" s="1" t="s">
        <v>0</v>
      </c>
      <c r="I757" s="2"/>
      <c r="J757" s="2"/>
      <c r="K757" s="1" t="s">
        <v>15</v>
      </c>
    </row>
    <row r="758" ht="15.75" customHeight="1">
      <c r="A758" s="1">
        <v>757.0</v>
      </c>
      <c r="B758" s="1">
        <v>20.0</v>
      </c>
      <c r="C758" s="4" t="s">
        <v>43</v>
      </c>
      <c r="D758" s="5" t="str">
        <f>IFERROR(__xludf.DUMMYFUNCTION("LET(
  words, TRANSPOSE(SPLIT($C758,""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)"),"parang tatlo lang po")</f>
        <v>parang tatlo lang po</v>
      </c>
      <c r="E758" s="3" t="str">
        <f>IFERROR(__xludf.DUMMYFUNCTION("INDEX(SPLIT($C758,"" ""), ROW()-ROW($E$757)+1)
"),"tatlo")</f>
        <v>tatlo</v>
      </c>
      <c r="F758" s="30" t="s">
        <v>16</v>
      </c>
      <c r="G758" s="2"/>
      <c r="H758" s="1" t="s">
        <v>0</v>
      </c>
      <c r="I758" s="2"/>
      <c r="J758" s="2"/>
      <c r="K758" s="1" t="s">
        <v>15</v>
      </c>
    </row>
    <row r="759" ht="15.75" customHeight="1">
      <c r="A759" s="1">
        <v>758.0</v>
      </c>
      <c r="B759" s="1">
        <v>20.0</v>
      </c>
      <c r="C759" s="4" t="s">
        <v>43</v>
      </c>
      <c r="D759" s="5" t="str">
        <f>IFERROR(__xludf.DUMMYFUNCTION("LET(
  words, TRANSPOSE(SPLIT($C759,""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)"),"parang tatlo lang po yata")</f>
        <v>parang tatlo lang po yata</v>
      </c>
      <c r="E759" s="3" t="str">
        <f>IFERROR(__xludf.DUMMYFUNCTION("INDEX(SPLIT($C759,"" ""), ROW()-ROW($E$757)+1)
"),"lang")</f>
        <v>lang</v>
      </c>
      <c r="F759" s="30" t="s">
        <v>16</v>
      </c>
      <c r="G759" s="2"/>
      <c r="H759" s="1" t="s">
        <v>0</v>
      </c>
      <c r="I759" s="2"/>
      <c r="J759" s="2"/>
      <c r="K759" s="1" t="s">
        <v>15</v>
      </c>
    </row>
    <row r="760" ht="15.75" customHeight="1">
      <c r="A760" s="1">
        <v>759.0</v>
      </c>
      <c r="B760" s="1">
        <v>20.0</v>
      </c>
      <c r="C760" s="4" t="s">
        <v>43</v>
      </c>
      <c r="D760" s="5" t="str">
        <f>IFERROR(__xludf.DUMMYFUNCTION("LET(
  words, TRANSPOSE(SPLIT($C760,""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)"),"tatlo lang po yata yung")</f>
        <v>tatlo lang po yata yung</v>
      </c>
      <c r="E760" s="3" t="str">
        <f>IFERROR(__xludf.DUMMYFUNCTION("INDEX(SPLIT($C760,"" ""), ROW()-ROW($E$757)+1)
"),"po")</f>
        <v>po</v>
      </c>
      <c r="F760" s="30" t="s">
        <v>16</v>
      </c>
      <c r="G760" s="2"/>
      <c r="H760" s="1" t="s">
        <v>0</v>
      </c>
      <c r="I760" s="2"/>
      <c r="J760" s="2"/>
      <c r="K760" s="1" t="s">
        <v>15</v>
      </c>
    </row>
    <row r="761" ht="15.75" customHeight="1">
      <c r="A761" s="1">
        <v>760.0</v>
      </c>
      <c r="B761" s="1">
        <v>20.0</v>
      </c>
      <c r="C761" s="4" t="s">
        <v>43</v>
      </c>
      <c r="D761" s="5" t="str">
        <f>IFERROR(__xludf.DUMMYFUNCTION("LET(
  words, TRANSPOSE(SPLIT($C761,""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)"),"lang po yata yung promo")</f>
        <v>lang po yata yung promo</v>
      </c>
      <c r="E761" s="3" t="str">
        <f>IFERROR(__xludf.DUMMYFUNCTION("INDEX(SPLIT($C761,"" ""), ROW()-ROW($E$757)+1)
"),"yata")</f>
        <v>yata</v>
      </c>
      <c r="F761" s="30" t="s">
        <v>16</v>
      </c>
      <c r="G761" s="2"/>
      <c r="H761" s="1" t="s">
        <v>0</v>
      </c>
      <c r="I761" s="2"/>
      <c r="J761" s="2"/>
      <c r="K761" s="1" t="s">
        <v>15</v>
      </c>
    </row>
    <row r="762" ht="15.75" customHeight="1">
      <c r="A762" s="1">
        <v>761.0</v>
      </c>
      <c r="B762" s="1">
        <v>20.0</v>
      </c>
      <c r="C762" s="4" t="s">
        <v>43</v>
      </c>
      <c r="D762" s="5" t="str">
        <f>IFERROR(__xludf.DUMMYFUNCTION("LET(
  words, TRANSPOSE(SPLIT($C762,""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 yata yung promo namin")</f>
        <v>po yata yung promo namin</v>
      </c>
      <c r="E762" s="3" t="str">
        <f>IFERROR(__xludf.DUMMYFUNCTION("INDEX(SPLIT($C762,"" ""), ROW()-ROW($E$757)+1)
"),"yung")</f>
        <v>yung</v>
      </c>
      <c r="F762" s="30" t="s">
        <v>16</v>
      </c>
      <c r="G762" s="2"/>
      <c r="H762" s="1" t="s">
        <v>0</v>
      </c>
      <c r="I762" s="2"/>
      <c r="J762" s="2"/>
      <c r="K762" s="1" t="s">
        <v>15</v>
      </c>
    </row>
    <row r="763" ht="15.75" customHeight="1">
      <c r="A763" s="1">
        <v>762.0</v>
      </c>
      <c r="B763" s="1">
        <v>20.0</v>
      </c>
      <c r="C763" s="4" t="s">
        <v>43</v>
      </c>
      <c r="D763" s="5" t="str">
        <f>IFERROR(__xludf.DUMMYFUNCTION("LET(
  words, TRANSPOSE(SPLIT($C763,""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)"),"yata yung promo namin sa")</f>
        <v>yata yung promo namin sa</v>
      </c>
      <c r="E763" s="3" t="str">
        <f>IFERROR(__xludf.DUMMYFUNCTION("INDEX(SPLIT($C763,"" ""), ROW()-ROW($E$757)+1)
"),"promo")</f>
        <v>promo</v>
      </c>
      <c r="F763" s="30" t="s">
        <v>18</v>
      </c>
      <c r="G763" s="2"/>
      <c r="H763" s="1" t="s">
        <v>0</v>
      </c>
      <c r="I763" s="2"/>
      <c r="J763" s="2"/>
      <c r="K763" s="1" t="s">
        <v>15</v>
      </c>
    </row>
    <row r="764" ht="15.75" customHeight="1">
      <c r="A764" s="1">
        <v>763.0</v>
      </c>
      <c r="B764" s="1">
        <v>20.0</v>
      </c>
      <c r="C764" s="4" t="s">
        <v>43</v>
      </c>
      <c r="D764" s="5" t="str">
        <f>IFERROR(__xludf.DUMMYFUNCTION("LET(
  words, TRANSPOSE(SPLIT($C764,""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)"),"yung promo namin sa Shake")</f>
        <v>yung promo namin sa Shake</v>
      </c>
      <c r="E764" s="3" t="str">
        <f>IFERROR(__xludf.DUMMYFUNCTION("INDEX(SPLIT($C764,"" ""), ROW()-ROW($E$757)+1)
"),"namin")</f>
        <v>namin</v>
      </c>
      <c r="F764" s="30" t="s">
        <v>16</v>
      </c>
      <c r="G764" s="2"/>
      <c r="H764" s="1" t="s">
        <v>0</v>
      </c>
      <c r="I764" s="2"/>
      <c r="J764" s="2"/>
      <c r="K764" s="1" t="s">
        <v>15</v>
      </c>
    </row>
    <row r="765" ht="15.75" customHeight="1">
      <c r="A765" s="1">
        <v>764.0</v>
      </c>
      <c r="B765" s="1">
        <v>20.0</v>
      </c>
      <c r="C765" s="4" t="s">
        <v>43</v>
      </c>
      <c r="D765" s="5" t="str">
        <f>IFERROR(__xludf.DUMMYFUNCTION("LET(
  words, TRANSPOSE(SPLIT($C765,""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)"),"promo namin sa Shake ,")</f>
        <v>promo namin sa Shake ,</v>
      </c>
      <c r="E765" s="3" t="str">
        <f>IFERROR(__xludf.DUMMYFUNCTION("INDEX(SPLIT($C765,"" ""), ROW()-ROW($E$757)+1)
"),"sa")</f>
        <v>sa</v>
      </c>
      <c r="F765" s="30" t="s">
        <v>16</v>
      </c>
      <c r="G765" s="2"/>
      <c r="H765" s="1" t="s">
        <v>0</v>
      </c>
      <c r="I765" s="2"/>
      <c r="J765" s="2"/>
      <c r="K765" s="1" t="s">
        <v>15</v>
      </c>
    </row>
    <row r="766" ht="15.75" customHeight="1">
      <c r="A766" s="1">
        <v>765.0</v>
      </c>
      <c r="B766" s="1">
        <v>20.0</v>
      </c>
      <c r="C766" s="4" t="s">
        <v>43</v>
      </c>
      <c r="D766" s="5" t="str">
        <f>IFERROR(__xludf.DUMMYFUNCTION("LET(
  words, TRANSPOSE(SPLIT($C766,""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)"),"namin sa Shake , Rattle")</f>
        <v>namin sa Shake , Rattle</v>
      </c>
      <c r="E766" s="3" t="str">
        <f>IFERROR(__xludf.DUMMYFUNCTION("INDEX(SPLIT($C766,"" ""), ROW()-ROW($E$757)+1)
"),"Shake")</f>
        <v>Shake</v>
      </c>
      <c r="F766" s="30" t="s">
        <v>18</v>
      </c>
      <c r="G766" s="1" t="s">
        <v>28</v>
      </c>
      <c r="H766" s="1" t="s">
        <v>0</v>
      </c>
      <c r="I766" s="2"/>
      <c r="J766" s="2"/>
      <c r="K766" s="1" t="s">
        <v>15</v>
      </c>
    </row>
    <row r="767" ht="15.75" customHeight="1">
      <c r="A767" s="1">
        <v>766.0</v>
      </c>
      <c r="B767" s="1">
        <v>20.0</v>
      </c>
      <c r="C767" s="4" t="s">
        <v>43</v>
      </c>
      <c r="D767" s="5" t="str">
        <f>IFERROR(__xludf.DUMMYFUNCTION("LET(
  words, TRANSPOSE(SPLIT($C767,""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Shake , Rattle &amp;")</f>
        <v>sa Shake , Rattle &amp;</v>
      </c>
      <c r="E767" s="3" t="str">
        <f>IFERROR(__xludf.DUMMYFUNCTION("INDEX(SPLIT($C767,"" ""), ROW()-ROW($E$757)+1)
"),",")</f>
        <v>,</v>
      </c>
      <c r="F767" s="30" t="s">
        <v>17</v>
      </c>
      <c r="G767" s="1" t="s">
        <v>28</v>
      </c>
      <c r="H767" s="1" t="s">
        <v>0</v>
      </c>
      <c r="I767" s="2"/>
      <c r="J767" s="2"/>
      <c r="K767" s="1" t="s">
        <v>15</v>
      </c>
    </row>
    <row r="768" ht="15.75" customHeight="1">
      <c r="A768" s="1">
        <v>767.0</v>
      </c>
      <c r="B768" s="1">
        <v>20.0</v>
      </c>
      <c r="C768" s="4" t="s">
        <v>43</v>
      </c>
      <c r="D768" s="5" t="str">
        <f>IFERROR(__xludf.DUMMYFUNCTION("LET(
  words, TRANSPOSE(SPLIT($C768,""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)"),"Shake , Rattle &amp; Roll")</f>
        <v>Shake , Rattle &amp; Roll</v>
      </c>
      <c r="E768" s="3" t="str">
        <f>IFERROR(__xludf.DUMMYFUNCTION("INDEX(SPLIT($C768,"" ""), ROW()-ROW($E$757)+1)
"),"Rattle")</f>
        <v>Rattle</v>
      </c>
      <c r="F768" s="30" t="s">
        <v>18</v>
      </c>
      <c r="G768" s="1" t="s">
        <v>28</v>
      </c>
      <c r="H768" s="1" t="s">
        <v>0</v>
      </c>
      <c r="I768" s="2"/>
      <c r="J768" s="2"/>
      <c r="K768" s="1" t="s">
        <v>15</v>
      </c>
    </row>
    <row r="769" ht="15.75" customHeight="1">
      <c r="A769" s="1">
        <v>768.0</v>
      </c>
      <c r="B769" s="1">
        <v>20.0</v>
      </c>
      <c r="C769" s="4" t="s">
        <v>43</v>
      </c>
      <c r="D769" s="5" t="str">
        <f>IFERROR(__xludf.DUMMYFUNCTION("LET(
  words, TRANSPOSE(SPLIT($C769,""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Rattle &amp; Roll .")</f>
        <v>, Rattle &amp; Roll .</v>
      </c>
      <c r="E769" s="3" t="str">
        <f>IFERROR(__xludf.DUMMYFUNCTION("INDEX(SPLIT($C769,"" ""), ROW()-ROW($E$757)+1)
"),"&amp;")</f>
        <v>&amp;</v>
      </c>
      <c r="F769" s="30" t="s">
        <v>17</v>
      </c>
      <c r="G769" s="1" t="s">
        <v>28</v>
      </c>
      <c r="H769" s="1" t="s">
        <v>0</v>
      </c>
      <c r="I769" s="2"/>
      <c r="J769" s="2"/>
      <c r="K769" s="1" t="s">
        <v>15</v>
      </c>
    </row>
    <row r="770" ht="15.75" customHeight="1">
      <c r="A770" s="1">
        <v>769.0</v>
      </c>
      <c r="B770" s="1">
        <v>20.0</v>
      </c>
      <c r="C770" s="4" t="s">
        <v>43</v>
      </c>
      <c r="D770" s="5" t="str">
        <f>IFERROR(__xludf.DUMMYFUNCTION("LET(
  words, TRANSPOSE(SPLIT($C770,""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)"),"Rattle &amp; Roll . pigyan")</f>
        <v>Rattle &amp; Roll . pigyan</v>
      </c>
      <c r="E770" s="3" t="str">
        <f>IFERROR(__xludf.DUMMYFUNCTION("INDEX(SPLIT($C770,"" ""), ROW()-ROW($E$757)+1)
"),"Roll")</f>
        <v>Roll</v>
      </c>
      <c r="F770" s="30" t="s">
        <v>18</v>
      </c>
      <c r="G770" s="1" t="s">
        <v>28</v>
      </c>
      <c r="H770" s="1" t="s">
        <v>0</v>
      </c>
      <c r="I770" s="2"/>
      <c r="J770" s="2"/>
      <c r="K770" s="1" t="s">
        <v>15</v>
      </c>
    </row>
    <row r="771" ht="15.75" customHeight="1">
      <c r="A771" s="1">
        <v>770.0</v>
      </c>
      <c r="B771" s="1">
        <v>20.0</v>
      </c>
      <c r="C771" s="4" t="s">
        <v>43</v>
      </c>
      <c r="D771" s="5" t="str">
        <f>IFERROR(__xludf.DUMMYFUNCTION("LET(
  words, TRANSPOSE(SPLIT($C771,""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)"),"&amp; Roll . pigyan niyo")</f>
        <v>&amp; Roll . pigyan niyo</v>
      </c>
      <c r="E771" s="3" t="str">
        <f>IFERROR(__xludf.DUMMYFUNCTION("INDEX(SPLIT($C771,"" ""), ROW()-ROW($E$757)+1)
"),".")</f>
        <v>.</v>
      </c>
      <c r="F771" s="30" t="s">
        <v>17</v>
      </c>
      <c r="G771" s="2"/>
      <c r="H771" s="1" t="s">
        <v>0</v>
      </c>
      <c r="I771" s="2"/>
      <c r="J771" s="2"/>
      <c r="K771" s="1" t="s">
        <v>15</v>
      </c>
    </row>
    <row r="772" ht="15.75" customHeight="1">
      <c r="A772" s="1">
        <v>771.0</v>
      </c>
      <c r="B772" s="1">
        <v>20.0</v>
      </c>
      <c r="C772" s="4" t="s">
        <v>43</v>
      </c>
      <c r="D772" s="5" t="str">
        <f>IFERROR(__xludf.DUMMYFUNCTION("LET(
  words, TRANSPOSE(SPLIT($C772,""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)"),"Roll . pigyan niyo po")</f>
        <v>Roll . pigyan niyo po</v>
      </c>
      <c r="E772" s="3" t="str">
        <f>IFERROR(__xludf.DUMMYFUNCTION("INDEX(SPLIT($C772,"" ""), ROW()-ROW($E$757)+1)
"),"pigyan")</f>
        <v>pigyan</v>
      </c>
      <c r="F772" s="30" t="s">
        <v>13</v>
      </c>
      <c r="G772" s="2"/>
      <c r="H772" s="1" t="s">
        <v>0</v>
      </c>
      <c r="I772" s="2"/>
      <c r="J772" s="2"/>
      <c r="K772" s="1" t="s">
        <v>15</v>
      </c>
      <c r="L772" s="1" t="s">
        <v>44</v>
      </c>
    </row>
    <row r="773" ht="15.75" customHeight="1">
      <c r="A773" s="1">
        <v>772.0</v>
      </c>
      <c r="B773" s="1">
        <v>20.0</v>
      </c>
      <c r="C773" s="4" t="s">
        <v>43</v>
      </c>
      <c r="D773" s="5" t="str">
        <f>IFERROR(__xludf.DUMMYFUNCTION("LET(
  words, TRANSPOSE(SPLIT($C773,""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pigyan niyo po akong")</f>
        <v>. pigyan niyo po akong</v>
      </c>
      <c r="E773" s="3" t="str">
        <f>IFERROR(__xludf.DUMMYFUNCTION("INDEX(SPLIT($C773,"" ""), ROW()-ROW($E$757)+1)
"),"niyo")</f>
        <v>niyo</v>
      </c>
      <c r="F773" s="30" t="s">
        <v>16</v>
      </c>
      <c r="G773" s="2"/>
      <c r="H773" s="1" t="s">
        <v>0</v>
      </c>
      <c r="I773" s="2"/>
      <c r="J773" s="2"/>
      <c r="K773" s="1" t="s">
        <v>15</v>
      </c>
    </row>
    <row r="774" ht="15.75" customHeight="1">
      <c r="A774" s="1">
        <v>773.0</v>
      </c>
      <c r="B774" s="1">
        <v>20.0</v>
      </c>
      <c r="C774" s="4" t="s">
        <v>43</v>
      </c>
      <c r="D774" s="5" t="str">
        <f>IFERROR(__xludf.DUMMYFUNCTION("LET(
  words, TRANSPOSE(SPLIT($C774,""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)"),"pigyan niyo po akong trabaho")</f>
        <v>pigyan niyo po akong trabaho</v>
      </c>
      <c r="E774" s="3" t="str">
        <f>IFERROR(__xludf.DUMMYFUNCTION("INDEX(SPLIT($C774,"" ""), ROW()-ROW($E$757)+1)
"),"po")</f>
        <v>po</v>
      </c>
      <c r="F774" s="30" t="s">
        <v>16</v>
      </c>
      <c r="G774" s="2"/>
      <c r="H774" s="1" t="s">
        <v>0</v>
      </c>
      <c r="I774" s="2"/>
      <c r="J774" s="2"/>
      <c r="K774" s="1" t="s">
        <v>15</v>
      </c>
    </row>
    <row r="775" ht="15.75" customHeight="1">
      <c r="A775" s="1">
        <v>774.0</v>
      </c>
      <c r="B775" s="1">
        <v>20.0</v>
      </c>
      <c r="C775" s="4" t="s">
        <v>43</v>
      </c>
      <c r="D775" s="5" t="str">
        <f>IFERROR(__xludf.DUMMYFUNCTION("LET(
  words, TRANSPOSE(SPLIT($C775,""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)"),"niyo po akong trabaho ,")</f>
        <v>niyo po akong trabaho ,</v>
      </c>
      <c r="E775" s="3" t="str">
        <f>IFERROR(__xludf.DUMMYFUNCTION("INDEX(SPLIT($C775,"" ""), ROW()-ROW($E$757)+1)
"),"akong")</f>
        <v>akong</v>
      </c>
      <c r="F775" s="30" t="s">
        <v>16</v>
      </c>
      <c r="G775" s="2"/>
      <c r="H775" s="1" t="s">
        <v>0</v>
      </c>
      <c r="I775" s="2"/>
      <c r="J775" s="2"/>
      <c r="K775" s="1" t="s">
        <v>15</v>
      </c>
    </row>
    <row r="776" ht="15.75" customHeight="1">
      <c r="A776" s="1">
        <v>775.0</v>
      </c>
      <c r="B776" s="1">
        <v>20.0</v>
      </c>
      <c r="C776" s="4" t="s">
        <v>43</v>
      </c>
      <c r="D776" s="5" t="str">
        <f>IFERROR(__xludf.DUMMYFUNCTION("LET(
  words, TRANSPOSE(SPLIT($C776,""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 akong trabaho , please")</f>
        <v>po akong trabaho , please</v>
      </c>
      <c r="E776" s="3" t="str">
        <f>IFERROR(__xludf.DUMMYFUNCTION("INDEX(SPLIT($C776,"" ""), ROW()-ROW($E$757)+1)
"),"trabaho")</f>
        <v>trabaho</v>
      </c>
      <c r="F776" s="30" t="s">
        <v>16</v>
      </c>
      <c r="G776" s="2"/>
      <c r="H776" s="1" t="s">
        <v>0</v>
      </c>
      <c r="I776" s="2"/>
      <c r="J776" s="2"/>
      <c r="K776" s="1" t="s">
        <v>15</v>
      </c>
    </row>
    <row r="777" ht="15.75" customHeight="1">
      <c r="A777" s="1">
        <v>776.0</v>
      </c>
      <c r="B777" s="1">
        <v>20.0</v>
      </c>
      <c r="C777" s="4" t="s">
        <v>43</v>
      </c>
      <c r="D777" s="5" t="str">
        <f>IFERROR(__xludf.DUMMYFUNCTION("LET(
  words, TRANSPOSE(SPLIT($C777,""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)"),"akong trabaho , please .")</f>
        <v>akong trabaho , please .</v>
      </c>
      <c r="E777" s="3" t="str">
        <f>IFERROR(__xludf.DUMMYFUNCTION("INDEX(SPLIT($C777,"" ""), ROW()-ROW($E$757)+1)
"),",")</f>
        <v>,</v>
      </c>
      <c r="F777" s="30" t="s">
        <v>17</v>
      </c>
      <c r="G777" s="2"/>
      <c r="H777" s="1" t="s">
        <v>0</v>
      </c>
      <c r="I777" s="2"/>
      <c r="J777" s="2"/>
      <c r="K777" s="1" t="s">
        <v>15</v>
      </c>
    </row>
    <row r="778" ht="15.75" customHeight="1">
      <c r="A778" s="1">
        <v>777.0</v>
      </c>
      <c r="B778" s="1">
        <v>20.0</v>
      </c>
      <c r="C778" s="4" t="s">
        <v>43</v>
      </c>
      <c r="D778" s="5" t="str">
        <f>IFERROR(__xludf.DUMMYFUNCTION("LET(
  words, TRANSPOSE(SPLIT($C778,""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)"),"trabaho , please . yes")</f>
        <v>trabaho , please . yes</v>
      </c>
      <c r="E778" s="3" t="str">
        <f>IFERROR(__xludf.DUMMYFUNCTION("INDEX(SPLIT($C778,"" ""), ROW()-ROW($E$757)+1)
"),"please")</f>
        <v>please</v>
      </c>
      <c r="F778" s="30" t="s">
        <v>18</v>
      </c>
      <c r="G778" s="2"/>
      <c r="H778" s="1" t="s">
        <v>0</v>
      </c>
      <c r="I778" s="2"/>
      <c r="J778" s="2"/>
      <c r="K778" s="1" t="s">
        <v>15</v>
      </c>
    </row>
    <row r="779" ht="15.75" customHeight="1">
      <c r="A779" s="1">
        <v>778.0</v>
      </c>
      <c r="B779" s="1">
        <v>20.0</v>
      </c>
      <c r="C779" s="4" t="s">
        <v>43</v>
      </c>
      <c r="D779" s="5" t="str">
        <f>IFERROR(__xludf.DUMMYFUNCTION("LET(
  words, TRANSPOSE(SPLIT($C779,""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please . yes !")</f>
        <v>, please . yes !</v>
      </c>
      <c r="E779" s="3" t="str">
        <f>IFERROR(__xludf.DUMMYFUNCTION("INDEX(SPLIT($C779,"" ""), ROW()-ROW($E$757)+1)
"),".")</f>
        <v>.</v>
      </c>
      <c r="F779" s="30" t="s">
        <v>17</v>
      </c>
      <c r="G779" s="2"/>
      <c r="H779" s="1" t="s">
        <v>0</v>
      </c>
      <c r="I779" s="2"/>
      <c r="J779" s="2"/>
      <c r="K779" s="1" t="s">
        <v>15</v>
      </c>
    </row>
    <row r="780" ht="15.75" customHeight="1">
      <c r="A780" s="1">
        <v>779.0</v>
      </c>
      <c r="B780" s="1">
        <v>20.0</v>
      </c>
      <c r="C780" s="4" t="s">
        <v>43</v>
      </c>
      <c r="D780" s="5" t="str">
        <f>IFERROR(__xludf.DUMMYFUNCTION("LET(
  words, TRANSPOSE(SPLIT($C780,""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)"),"please . yes ! please")</f>
        <v>please . yes ! please</v>
      </c>
      <c r="E780" s="3" t="str">
        <f>IFERROR(__xludf.DUMMYFUNCTION("INDEX(SPLIT($C780,"" ""), ROW()-ROW($E$757)+1)
"),"yes")</f>
        <v>yes</v>
      </c>
      <c r="F780" s="30" t="s">
        <v>18</v>
      </c>
      <c r="G780" s="2"/>
      <c r="H780" s="1" t="s">
        <v>0</v>
      </c>
      <c r="I780" s="2"/>
      <c r="J780" s="2"/>
      <c r="K780" s="1" t="s">
        <v>15</v>
      </c>
    </row>
    <row r="781" ht="15.75" customHeight="1">
      <c r="A781" s="1">
        <v>780.0</v>
      </c>
      <c r="B781" s="1">
        <v>20.0</v>
      </c>
      <c r="C781" s="4" t="s">
        <v>43</v>
      </c>
      <c r="D781" s="5" t="str">
        <f>IFERROR(__xludf.DUMMYFUNCTION("LET(
  words, TRANSPOSE(SPLIT($C781,""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yes ! please po")</f>
        <v>. yes ! please po</v>
      </c>
      <c r="E781" s="3" t="str">
        <f>IFERROR(__xludf.DUMMYFUNCTION("INDEX(SPLIT($C781,"" ""), ROW()-ROW($E$757)+1)
"),"!")</f>
        <v>!</v>
      </c>
      <c r="F781" s="30" t="s">
        <v>17</v>
      </c>
      <c r="G781" s="2"/>
      <c r="H781" s="1" t="s">
        <v>0</v>
      </c>
      <c r="I781" s="2"/>
      <c r="J781" s="2"/>
      <c r="K781" s="1" t="s">
        <v>15</v>
      </c>
    </row>
    <row r="782" ht="15.75" customHeight="1">
      <c r="A782" s="1">
        <v>781.0</v>
      </c>
      <c r="B782" s="1">
        <v>20.0</v>
      </c>
      <c r="C782" s="4" t="s">
        <v>43</v>
      </c>
      <c r="D782" s="5" t="str">
        <f>IFERROR(__xludf.DUMMYFUNCTION("LET(
  words, TRANSPOSE(SPLIT($C782,""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)"),"yes ! please po ,")</f>
        <v>yes ! please po ,</v>
      </c>
      <c r="E782" s="3" t="str">
        <f>IFERROR(__xludf.DUMMYFUNCTION("INDEX(SPLIT($C782,"" ""), ROW()-ROW($E$757)+1)
"),"please")</f>
        <v>please</v>
      </c>
      <c r="F782" s="30" t="s">
        <v>18</v>
      </c>
      <c r="G782" s="2"/>
      <c r="H782" s="1" t="s">
        <v>0</v>
      </c>
      <c r="I782" s="2"/>
      <c r="J782" s="2"/>
      <c r="K782" s="1" t="s">
        <v>15</v>
      </c>
    </row>
    <row r="783" ht="15.75" customHeight="1">
      <c r="A783" s="1">
        <v>782.0</v>
      </c>
      <c r="B783" s="1">
        <v>20.0</v>
      </c>
      <c r="C783" s="4" t="s">
        <v>43</v>
      </c>
      <c r="D783" s="5" t="str">
        <f>IFERROR(__xludf.DUMMYFUNCTION("LET(
  words, TRANSPOSE(SPLIT($C783,""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)"),"! please po , more")</f>
        <v>! please po , more</v>
      </c>
      <c r="E783" s="3" t="str">
        <f>IFERROR(__xludf.DUMMYFUNCTION("INDEX(SPLIT($C783,"" ""), ROW()-ROW($E$757)+1)
"),"po")</f>
        <v>po</v>
      </c>
      <c r="F783" s="30" t="s">
        <v>16</v>
      </c>
      <c r="G783" s="2"/>
      <c r="H783" s="1" t="s">
        <v>0</v>
      </c>
      <c r="I783" s="2"/>
      <c r="J783" s="2"/>
      <c r="K783" s="1" t="s">
        <v>15</v>
      </c>
    </row>
    <row r="784" ht="15.75" customHeight="1">
      <c r="A784" s="1">
        <v>783.0</v>
      </c>
      <c r="B784" s="1">
        <v>20.0</v>
      </c>
      <c r="C784" s="4" t="s">
        <v>43</v>
      </c>
      <c r="D784" s="5" t="str">
        <f>IFERROR(__xludf.DUMMYFUNCTION("LET(
  words, TRANSPOSE(SPLIT($C784,""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)"),"please po , more work")</f>
        <v>please po , more work</v>
      </c>
      <c r="E784" s="3" t="str">
        <f>IFERROR(__xludf.DUMMYFUNCTION("INDEX(SPLIT($C784,"" ""), ROW()-ROW($E$757)+1)
"),",")</f>
        <v>,</v>
      </c>
      <c r="F784" s="30" t="s">
        <v>17</v>
      </c>
      <c r="G784" s="2"/>
      <c r="H784" s="1" t="s">
        <v>0</v>
      </c>
      <c r="I784" s="2"/>
      <c r="J784" s="2"/>
      <c r="K784" s="1" t="s">
        <v>15</v>
      </c>
    </row>
    <row r="785" ht="15.75" customHeight="1">
      <c r="A785" s="1">
        <v>784.0</v>
      </c>
      <c r="B785" s="1">
        <v>20.0</v>
      </c>
      <c r="C785" s="4" t="s">
        <v>43</v>
      </c>
      <c r="D785" s="5" t="str">
        <f>IFERROR(__xludf.DUMMYFUNCTION("LET(
  words, TRANSPOSE(SPLIT($C785,""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 , more work .")</f>
        <v>po , more work .</v>
      </c>
      <c r="E785" s="3" t="str">
        <f>IFERROR(__xludf.DUMMYFUNCTION("INDEX(SPLIT($C785,"" ""), ROW()-ROW($E$757)+1)
"),"more")</f>
        <v>more</v>
      </c>
      <c r="F785" s="30" t="s">
        <v>18</v>
      </c>
      <c r="G785" s="2"/>
      <c r="H785" s="1" t="s">
        <v>0</v>
      </c>
      <c r="I785" s="2"/>
      <c r="J785" s="2"/>
      <c r="K785" s="1" t="s">
        <v>15</v>
      </c>
    </row>
    <row r="786" ht="15.75" customHeight="1">
      <c r="A786" s="1">
        <v>785.0</v>
      </c>
      <c r="B786" s="1">
        <v>20.0</v>
      </c>
      <c r="C786" s="4" t="s">
        <v>43</v>
      </c>
      <c r="D786" s="5" t="str">
        <f>IFERROR(__xludf.DUMMYFUNCTION("LET(
  words, TRANSPOSE(SPLIT($C786,""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more work . wala")</f>
        <v>, more work . wala</v>
      </c>
      <c r="E786" s="3" t="str">
        <f>IFERROR(__xludf.DUMMYFUNCTION("INDEX(SPLIT($C786,"" ""), ROW()-ROW($E$757)+1)
"),"work")</f>
        <v>work</v>
      </c>
      <c r="F786" s="30" t="s">
        <v>18</v>
      </c>
      <c r="G786" s="2"/>
      <c r="H786" s="1" t="s">
        <v>0</v>
      </c>
      <c r="I786" s="2"/>
      <c r="J786" s="2"/>
      <c r="K786" s="1" t="s">
        <v>15</v>
      </c>
    </row>
    <row r="787" ht="15.75" customHeight="1">
      <c r="A787" s="1">
        <v>786.0</v>
      </c>
      <c r="B787" s="1">
        <v>20.0</v>
      </c>
      <c r="C787" s="4" t="s">
        <v>43</v>
      </c>
      <c r="D787" s="5" t="str">
        <f>IFERROR(__xludf.DUMMYFUNCTION("LET(
  words, TRANSPOSE(SPLIT($C787,""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)"),"more work . wala na")</f>
        <v>more work . wala na</v>
      </c>
      <c r="E787" s="3" t="str">
        <f>IFERROR(__xludf.DUMMYFUNCTION("INDEX(SPLIT($C787,"" ""), ROW()-ROW($E$757)+1)
"),".")</f>
        <v>.</v>
      </c>
      <c r="F787" s="30" t="s">
        <v>17</v>
      </c>
      <c r="G787" s="2"/>
      <c r="H787" s="1" t="s">
        <v>0</v>
      </c>
      <c r="I787" s="2"/>
      <c r="J787" s="2"/>
      <c r="K787" s="1" t="s">
        <v>15</v>
      </c>
    </row>
    <row r="788" ht="15.75" customHeight="1">
      <c r="A788" s="1">
        <v>787.0</v>
      </c>
      <c r="B788" s="1">
        <v>20.0</v>
      </c>
      <c r="C788" s="4" t="s">
        <v>43</v>
      </c>
      <c r="D788" s="5" t="str">
        <f>IFERROR(__xludf.DUMMYFUNCTION("LET(
  words, TRANSPOSE(SPLIT($C788,""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)"),"work . wala na pong")</f>
        <v>work . wala na pong</v>
      </c>
      <c r="E788" s="3" t="str">
        <f>IFERROR(__xludf.DUMMYFUNCTION("INDEX(SPLIT($C788,"" ""), ROW()-ROW($E$757)+1)
"),"wala")</f>
        <v>wala</v>
      </c>
      <c r="F788" s="30" t="s">
        <v>16</v>
      </c>
      <c r="G788" s="2"/>
      <c r="H788" s="1" t="s">
        <v>0</v>
      </c>
      <c r="I788" s="2"/>
      <c r="J788" s="2"/>
      <c r="K788" s="1" t="s">
        <v>15</v>
      </c>
    </row>
    <row r="789" ht="15.75" customHeight="1">
      <c r="A789" s="1">
        <v>788.0</v>
      </c>
      <c r="B789" s="1">
        <v>20.0</v>
      </c>
      <c r="C789" s="4" t="s">
        <v>43</v>
      </c>
      <c r="D789" s="5" t="str">
        <f>IFERROR(__xludf.DUMMYFUNCTION("LET(
  words, TRANSPOSE(SPLIT($C789,""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wala na pong pangkain")</f>
        <v>. wala na pong pangkain</v>
      </c>
      <c r="E789" s="3" t="str">
        <f>IFERROR(__xludf.DUMMYFUNCTION("INDEX(SPLIT($C789,"" ""), ROW()-ROW($E$757)+1)
"),"na")</f>
        <v>na</v>
      </c>
      <c r="F789" s="30" t="s">
        <v>16</v>
      </c>
      <c r="G789" s="2"/>
      <c r="H789" s="1" t="s">
        <v>0</v>
      </c>
      <c r="I789" s="2"/>
      <c r="J789" s="2"/>
      <c r="K789" s="1" t="s">
        <v>15</v>
      </c>
    </row>
    <row r="790" ht="15.75" customHeight="1">
      <c r="A790" s="1">
        <v>789.0</v>
      </c>
      <c r="B790" s="1">
        <v>20.0</v>
      </c>
      <c r="C790" s="4" t="s">
        <v>43</v>
      </c>
      <c r="D790" s="5" t="str">
        <f>IFERROR(__xludf.DUMMYFUNCTION("LET(
  words, TRANSPOSE(SPLIT($C790,""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)"),"wala na pong pangkain yung")</f>
        <v>wala na pong pangkain yung</v>
      </c>
      <c r="E790" s="3" t="str">
        <f>IFERROR(__xludf.DUMMYFUNCTION("INDEX(SPLIT($C790,"" ""), ROW()-ROW($E$757)+1)
"),"pong")</f>
        <v>pong</v>
      </c>
      <c r="F790" s="30" t="s">
        <v>16</v>
      </c>
      <c r="G790" s="2"/>
      <c r="H790" s="1" t="s">
        <v>0</v>
      </c>
      <c r="I790" s="2"/>
      <c r="J790" s="2"/>
      <c r="K790" s="1" t="s">
        <v>15</v>
      </c>
    </row>
    <row r="791" ht="15.75" customHeight="1">
      <c r="A791" s="1">
        <v>790.0</v>
      </c>
      <c r="B791" s="1">
        <v>20.0</v>
      </c>
      <c r="C791" s="4" t="s">
        <v>43</v>
      </c>
      <c r="D791" s="5" t="str">
        <f>IFERROR(__xludf.DUMMYFUNCTION("LET(
  words, TRANSPOSE(SPLIT($C791,""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pong pangkain yung aking")</f>
        <v>na pong pangkain yung aking</v>
      </c>
      <c r="E791" s="3" t="str">
        <f>IFERROR(__xludf.DUMMYFUNCTION("INDEX(SPLIT($C791,"" ""), ROW()-ROW($E$757)+1)
"),"pangkain")</f>
        <v>pangkain</v>
      </c>
      <c r="F791" s="30" t="s">
        <v>16</v>
      </c>
      <c r="G791" s="2"/>
      <c r="H791" s="1" t="s">
        <v>0</v>
      </c>
      <c r="I791" s="2"/>
      <c r="J791" s="2"/>
      <c r="K791" s="1" t="s">
        <v>15</v>
      </c>
    </row>
    <row r="792" ht="15.75" customHeight="1">
      <c r="A792" s="1">
        <v>791.0</v>
      </c>
      <c r="B792" s="1">
        <v>20.0</v>
      </c>
      <c r="C792" s="4" t="s">
        <v>43</v>
      </c>
      <c r="D792" s="5" t="str">
        <f>IFERROR(__xludf.DUMMYFUNCTION("LET(
  words, TRANSPOSE(SPLIT($C792,""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)"),"pong pangkain yung aking mga")</f>
        <v>pong pangkain yung aking mga</v>
      </c>
      <c r="E792" s="3" t="str">
        <f>IFERROR(__xludf.DUMMYFUNCTION("INDEX(SPLIT($C792,"" ""), ROW()-ROW($E$757)+1)
"),"yung")</f>
        <v>yung</v>
      </c>
      <c r="F792" s="30" t="s">
        <v>16</v>
      </c>
      <c r="G792" s="2"/>
      <c r="H792" s="1" t="s">
        <v>0</v>
      </c>
      <c r="I792" s="2"/>
      <c r="J792" s="2"/>
      <c r="K792" s="1" t="s">
        <v>15</v>
      </c>
    </row>
    <row r="793" ht="15.75" customHeight="1">
      <c r="A793" s="1">
        <v>792.0</v>
      </c>
      <c r="B793" s="1">
        <v>20.0</v>
      </c>
      <c r="C793" s="4" t="s">
        <v>43</v>
      </c>
      <c r="D793" s="5" t="str">
        <f>IFERROR(__xludf.DUMMYFUNCTION("LET(
  words, TRANSPOSE(SPLIT($C793,""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)"),"pangkain yung aking mga aso")</f>
        <v>pangkain yung aking mga aso</v>
      </c>
      <c r="E793" s="3" t="str">
        <f>IFERROR(__xludf.DUMMYFUNCTION("INDEX(SPLIT($C793,"" ""), ROW()-ROW($E$757)+1)
"),"aking")</f>
        <v>aking</v>
      </c>
      <c r="F793" s="30" t="s">
        <v>16</v>
      </c>
      <c r="G793" s="2"/>
      <c r="H793" s="1" t="s">
        <v>0</v>
      </c>
      <c r="I793" s="2"/>
      <c r="J793" s="2"/>
      <c r="K793" s="1" t="s">
        <v>15</v>
      </c>
    </row>
    <row r="794" ht="15.75" customHeight="1">
      <c r="A794" s="1">
        <v>793.0</v>
      </c>
      <c r="B794" s="1">
        <v>20.0</v>
      </c>
      <c r="C794" s="4" t="s">
        <v>43</v>
      </c>
      <c r="D794" s="5" t="str">
        <f>IFERROR(__xludf.DUMMYFUNCTION("LET(
  words, TRANSPOSE(SPLIT($C794,""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)"),"yung aking mga aso .")</f>
        <v>yung aking mga aso .</v>
      </c>
      <c r="E794" s="3" t="str">
        <f>IFERROR(__xludf.DUMMYFUNCTION("INDEX(SPLIT($C794,"" ""), ROW()-ROW($E$757)+1)
"),"mga")</f>
        <v>mga</v>
      </c>
      <c r="F794" s="30" t="s">
        <v>16</v>
      </c>
      <c r="G794" s="2"/>
      <c r="H794" s="1" t="s">
        <v>0</v>
      </c>
      <c r="I794" s="2"/>
      <c r="J794" s="2"/>
      <c r="K794" s="1" t="s">
        <v>15</v>
      </c>
    </row>
    <row r="795" ht="15.75" customHeight="1">
      <c r="A795" s="1">
        <v>794.0</v>
      </c>
      <c r="B795" s="1">
        <v>20.0</v>
      </c>
      <c r="C795" s="4" t="s">
        <v>43</v>
      </c>
      <c r="D795" s="5" t="str">
        <f>IFERROR(__xludf.DUMMYFUNCTION("LET(
  words, TRANSPOSE(SPLIT($C795,""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)"),"aking mga aso . wala")</f>
        <v>aking mga aso . wala</v>
      </c>
      <c r="E795" s="3" t="str">
        <f>IFERROR(__xludf.DUMMYFUNCTION("INDEX(SPLIT($C795,"" ""), ROW()-ROW($E$757)+1)
"),"aso")</f>
        <v>aso</v>
      </c>
      <c r="F795" s="30" t="s">
        <v>16</v>
      </c>
      <c r="G795" s="2"/>
      <c r="H795" s="1" t="s">
        <v>0</v>
      </c>
      <c r="I795" s="2"/>
      <c r="J795" s="2"/>
      <c r="K795" s="1" t="s">
        <v>15</v>
      </c>
    </row>
    <row r="796" ht="15.75" customHeight="1">
      <c r="A796" s="1">
        <v>795.0</v>
      </c>
      <c r="B796" s="1">
        <v>20.0</v>
      </c>
      <c r="C796" s="4" t="s">
        <v>43</v>
      </c>
      <c r="D796" s="5" t="str">
        <f>IFERROR(__xludf.DUMMYFUNCTION("LET(
  words, TRANSPOSE(SPLIT($C796,""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)"),"mga aso . wala na")</f>
        <v>mga aso . wala na</v>
      </c>
      <c r="E796" s="3" t="str">
        <f>IFERROR(__xludf.DUMMYFUNCTION("INDEX(SPLIT($C796,"" ""), ROW()-ROW($E$757)+1)
"),".")</f>
        <v>.</v>
      </c>
      <c r="F796" s="30" t="s">
        <v>17</v>
      </c>
      <c r="G796" s="2"/>
      <c r="H796" s="1" t="s">
        <v>0</v>
      </c>
      <c r="I796" s="2"/>
      <c r="J796" s="2"/>
      <c r="K796" s="1" t="s">
        <v>15</v>
      </c>
    </row>
    <row r="797" ht="15.75" customHeight="1">
      <c r="A797" s="1">
        <v>796.0</v>
      </c>
      <c r="B797" s="1">
        <v>20.0</v>
      </c>
      <c r="C797" s="4" t="s">
        <v>43</v>
      </c>
      <c r="D797" s="5" t="str">
        <f>IFERROR(__xludf.DUMMYFUNCTION("LET(
  words, TRANSPOSE(SPLIT($C797,""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)"),"aso . wala na pong")</f>
        <v>aso . wala na pong</v>
      </c>
      <c r="E797" s="3" t="str">
        <f>IFERROR(__xludf.DUMMYFUNCTION("INDEX(SPLIT($C797,"" ""), ROW()-ROW($E$757)+1)
"),"wala")</f>
        <v>wala</v>
      </c>
      <c r="F797" s="30" t="s">
        <v>16</v>
      </c>
      <c r="G797" s="2"/>
      <c r="H797" s="1" t="s">
        <v>0</v>
      </c>
      <c r="I797" s="2"/>
      <c r="J797" s="2"/>
      <c r="K797" s="1" t="s">
        <v>15</v>
      </c>
    </row>
    <row r="798" ht="15.75" customHeight="1">
      <c r="A798" s="1">
        <v>797.0</v>
      </c>
      <c r="B798" s="1">
        <v>20.0</v>
      </c>
      <c r="C798" s="4" t="s">
        <v>43</v>
      </c>
      <c r="D798" s="5" t="str">
        <f>IFERROR(__xludf.DUMMYFUNCTION("LET(
  words, TRANSPOSE(SPLIT($C798,""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wala na pong pambayad")</f>
        <v>. wala na pong pambayad</v>
      </c>
      <c r="E798" s="3" t="str">
        <f>IFERROR(__xludf.DUMMYFUNCTION("INDEX(SPLIT($C798,"" ""), ROW()-ROW($E$757)+1)
"),"na")</f>
        <v>na</v>
      </c>
      <c r="F798" s="30" t="s">
        <v>16</v>
      </c>
      <c r="G798" s="2"/>
      <c r="H798" s="1" t="s">
        <v>0</v>
      </c>
      <c r="I798" s="2"/>
      <c r="J798" s="2"/>
      <c r="K798" s="1" t="s">
        <v>15</v>
      </c>
    </row>
    <row r="799" ht="15.75" customHeight="1">
      <c r="A799" s="1">
        <v>798.0</v>
      </c>
      <c r="B799" s="1">
        <v>20.0</v>
      </c>
      <c r="C799" s="4" t="s">
        <v>43</v>
      </c>
      <c r="D799" s="5" t="str">
        <f>IFERROR(__xludf.DUMMYFUNCTION("LET(
  words, TRANSPOSE(SPLIT($C799,""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)"),"wala na pong pambayad ng")</f>
        <v>wala na pong pambayad ng</v>
      </c>
      <c r="E799" s="3" t="str">
        <f>IFERROR(__xludf.DUMMYFUNCTION("INDEX(SPLIT($C799,"" ""), ROW()-ROW($E$757)+1)
"),"pong")</f>
        <v>pong</v>
      </c>
      <c r="F799" s="30" t="s">
        <v>16</v>
      </c>
      <c r="G799" s="2"/>
      <c r="H799" s="1" t="s">
        <v>0</v>
      </c>
      <c r="I799" s="2"/>
      <c r="J799" s="2"/>
      <c r="K799" s="1" t="s">
        <v>15</v>
      </c>
    </row>
    <row r="800" ht="15.75" customHeight="1">
      <c r="A800" s="1">
        <v>799.0</v>
      </c>
      <c r="B800" s="1">
        <v>20.0</v>
      </c>
      <c r="C800" s="4" t="s">
        <v>43</v>
      </c>
      <c r="D800" s="5" t="str">
        <f>IFERROR(__xludf.DUMMYFUNCTION("LET(
  words, TRANSPOSE(SPLIT($C800,""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pong pambayad ng tax")</f>
        <v>na pong pambayad ng tax</v>
      </c>
      <c r="E800" s="3" t="str">
        <f>IFERROR(__xludf.DUMMYFUNCTION("INDEX(SPLIT($C800,"" ""), ROW()-ROW($E$757)+1)
"),"pambayad")</f>
        <v>pambayad</v>
      </c>
      <c r="F800" s="30" t="s">
        <v>16</v>
      </c>
      <c r="G800" s="2"/>
      <c r="H800" s="1" t="s">
        <v>0</v>
      </c>
      <c r="I800" s="2"/>
      <c r="J800" s="2"/>
      <c r="K800" s="1" t="s">
        <v>15</v>
      </c>
    </row>
    <row r="801" ht="15.75" customHeight="1">
      <c r="A801" s="1">
        <v>800.0</v>
      </c>
      <c r="B801" s="1">
        <v>20.0</v>
      </c>
      <c r="C801" s="4" t="s">
        <v>43</v>
      </c>
      <c r="D801" s="5" t="str">
        <f>IFERROR(__xludf.DUMMYFUNCTION("LET(
  words, TRANSPOSE(SPLIT($C801,""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)"),"pong pambayad ng tax ko")</f>
        <v>pong pambayad ng tax ko</v>
      </c>
      <c r="E801" s="3" t="str">
        <f>IFERROR(__xludf.DUMMYFUNCTION("INDEX(SPLIT($C801,"" ""), ROW()-ROW($E$757)+1)
"),"ng")</f>
        <v>ng</v>
      </c>
      <c r="F801" s="30" t="s">
        <v>16</v>
      </c>
      <c r="G801" s="2"/>
      <c r="H801" s="1" t="s">
        <v>0</v>
      </c>
      <c r="I801" s="2"/>
      <c r="J801" s="2"/>
      <c r="K801" s="1" t="s">
        <v>15</v>
      </c>
    </row>
    <row r="802" ht="15.75" customHeight="1">
      <c r="A802" s="1">
        <v>801.0</v>
      </c>
      <c r="B802" s="1">
        <v>20.0</v>
      </c>
      <c r="C802" s="4" t="s">
        <v>43</v>
      </c>
      <c r="D802" s="5" t="str">
        <f>IFERROR(__xludf.DUMMYFUNCTION("LET(
  words, TRANSPOSE(SPLIT($C802,""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)"),"pambayad ng tax ko next")</f>
        <v>pambayad ng tax ko next</v>
      </c>
      <c r="E802" s="3" t="str">
        <f>IFERROR(__xludf.DUMMYFUNCTION("INDEX(SPLIT($C802,"" ""), ROW()-ROW($E$757)+1)
"),"tax")</f>
        <v>tax</v>
      </c>
      <c r="F802" s="30" t="s">
        <v>18</v>
      </c>
      <c r="G802" s="2"/>
      <c r="H802" s="1" t="s">
        <v>0</v>
      </c>
      <c r="I802" s="2"/>
      <c r="J802" s="2"/>
      <c r="K802" s="1" t="s">
        <v>15</v>
      </c>
    </row>
    <row r="803" ht="15.75" customHeight="1">
      <c r="A803" s="1">
        <v>802.0</v>
      </c>
      <c r="B803" s="1">
        <v>20.0</v>
      </c>
      <c r="C803" s="4" t="s">
        <v>43</v>
      </c>
      <c r="D803" s="5" t="str">
        <f>IFERROR(__xludf.DUMMYFUNCTION("LET(
  words, TRANSPOSE(SPLIT($C803,""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)"),"ng tax ko next week")</f>
        <v>ng tax ko next week</v>
      </c>
      <c r="E803" s="3" t="str">
        <f>IFERROR(__xludf.DUMMYFUNCTION("INDEX(SPLIT($C803,"" ""), ROW()-ROW($E$757)+1)
"),"ko")</f>
        <v>ko</v>
      </c>
      <c r="F803" s="30" t="s">
        <v>16</v>
      </c>
      <c r="G803" s="2"/>
      <c r="H803" s="1" t="s">
        <v>0</v>
      </c>
      <c r="I803" s="2"/>
      <c r="J803" s="2"/>
      <c r="K803" s="1" t="s">
        <v>15</v>
      </c>
    </row>
    <row r="804" ht="15.75" customHeight="1">
      <c r="A804" s="1">
        <v>803.0</v>
      </c>
      <c r="B804" s="1">
        <v>20.0</v>
      </c>
      <c r="C804" s="4" t="s">
        <v>43</v>
      </c>
      <c r="D804" s="5" t="str">
        <f>IFERROR(__xludf.DUMMYFUNCTION("LET(
  words, TRANSPOSE(SPLIT($C804,""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)"),"tax ko next week .")</f>
        <v>tax ko next week .</v>
      </c>
      <c r="E804" s="3" t="str">
        <f>IFERROR(__xludf.DUMMYFUNCTION("INDEX(SPLIT($C804,"" ""), ROW()-ROW($E$757)+1)
"),"next")</f>
        <v>next</v>
      </c>
      <c r="F804" s="30" t="s">
        <v>18</v>
      </c>
      <c r="G804" s="2"/>
      <c r="H804" s="1" t="s">
        <v>0</v>
      </c>
      <c r="I804" s="2"/>
      <c r="J804" s="2"/>
      <c r="K804" s="1" t="s">
        <v>15</v>
      </c>
    </row>
    <row r="805" ht="15.75" customHeight="1">
      <c r="A805" s="1">
        <v>804.0</v>
      </c>
      <c r="B805" s="1">
        <v>20.0</v>
      </c>
      <c r="C805" s="4" t="s">
        <v>43</v>
      </c>
      <c r="D805" s="5" t="str">
        <f>IFERROR(__xludf.DUMMYFUNCTION("LET(
  words, TRANSPOSE(SPLIT($C805,""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)"),"ko next week . P364")</f>
        <v>ko next week . P364</v>
      </c>
      <c r="E805" s="3" t="str">
        <f>IFERROR(__xludf.DUMMYFUNCTION("INDEX(SPLIT($C805,"" ""), ROW()-ROW($E$757)+1)
"),"week")</f>
        <v>week</v>
      </c>
      <c r="F805" s="30" t="s">
        <v>18</v>
      </c>
      <c r="G805" s="2"/>
      <c r="H805" s="1" t="s">
        <v>0</v>
      </c>
      <c r="I805" s="2"/>
      <c r="J805" s="2"/>
      <c r="K805" s="1" t="s">
        <v>15</v>
      </c>
    </row>
    <row r="806" ht="15.75" customHeight="1">
      <c r="A806" s="1">
        <v>805.0</v>
      </c>
      <c r="B806" s="1">
        <v>20.0</v>
      </c>
      <c r="C806" s="4" t="s">
        <v>43</v>
      </c>
      <c r="D806" s="5" t="str">
        <f>IFERROR(__xludf.DUMMYFUNCTION("LET(
  words, TRANSPOSE(SPLIT($C806,""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)"),"next week . P364 ,")</f>
        <v>next week . P364 ,</v>
      </c>
      <c r="E806" s="3" t="str">
        <f>IFERROR(__xludf.DUMMYFUNCTION("INDEX(SPLIT($C806,"" ""), ROW()-ROW($E$757)+1)
"),".")</f>
        <v>.</v>
      </c>
      <c r="F806" s="30" t="s">
        <v>17</v>
      </c>
      <c r="G806" s="2"/>
      <c r="H806" s="1" t="s">
        <v>0</v>
      </c>
      <c r="I806" s="2"/>
      <c r="J806" s="2"/>
      <c r="K806" s="1" t="s">
        <v>15</v>
      </c>
    </row>
    <row r="807" ht="15.75" customHeight="1">
      <c r="A807" s="1">
        <v>806.0</v>
      </c>
      <c r="B807" s="1">
        <v>20.0</v>
      </c>
      <c r="C807" s="4" t="s">
        <v>43</v>
      </c>
      <c r="D807" s="5" t="str">
        <f>IFERROR(__xludf.DUMMYFUNCTION("LET(
  words, TRANSPOSE(SPLIT($C807,""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)"),"week . P364 , 0")</f>
        <v>week . P364 , 0</v>
      </c>
      <c r="E807" s="3" t="str">
        <f>IFERROR(__xludf.DUMMYFUNCTION("INDEX(SPLIT($C807,"" ""), ROW()-ROW($E$757)+1)
"),"P364")</f>
        <v>P364</v>
      </c>
      <c r="F807" s="30" t="s">
        <v>25</v>
      </c>
      <c r="G807" s="2"/>
      <c r="H807" s="1" t="s">
        <v>0</v>
      </c>
      <c r="I807" s="2"/>
      <c r="J807" s="2"/>
      <c r="K807" s="1" t="s">
        <v>0</v>
      </c>
      <c r="L807" s="1" t="s">
        <v>45</v>
      </c>
    </row>
    <row r="808" ht="15.75" customHeight="1">
      <c r="A808" s="1">
        <v>807.0</v>
      </c>
      <c r="B808" s="1">
        <v>20.0</v>
      </c>
      <c r="C808" s="4" t="s">
        <v>43</v>
      </c>
      <c r="D808" s="5" t="str">
        <f>IFERROR(__xludf.DUMMYFUNCTION("LET(
  words, TRANSPOSE(SPLIT($C808,""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P364 , 0 po")</f>
        <v>. P364 , 0 po</v>
      </c>
      <c r="E808" s="3" t="str">
        <f>IFERROR(__xludf.DUMMYFUNCTION("INDEX(SPLIT($C808,"" ""), ROW()-ROW($E$757)+1)
"),",")</f>
        <v>,</v>
      </c>
      <c r="F808" s="30" t="s">
        <v>17</v>
      </c>
      <c r="G808" s="2"/>
      <c r="H808" s="1" t="s">
        <v>0</v>
      </c>
      <c r="I808" s="2"/>
      <c r="J808" s="2"/>
      <c r="K808" s="1" t="s">
        <v>15</v>
      </c>
    </row>
    <row r="809" ht="15.75" customHeight="1">
      <c r="A809" s="1">
        <v>808.0</v>
      </c>
      <c r="B809" s="1">
        <v>20.0</v>
      </c>
      <c r="C809" s="4" t="s">
        <v>43</v>
      </c>
      <c r="D809" s="5" t="str">
        <f>IFERROR(__xludf.DUMMYFUNCTION("LET(
  words, TRANSPOSE(SPLIT($C809,""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)"),"P364 , 0 po ang")</f>
        <v>P364 , 0 po ang</v>
      </c>
      <c r="E809" s="3">
        <f>IFERROR(__xludf.DUMMYFUNCTION("INDEX(SPLIT($C809,"" ""), ROW()-ROW($E$757)+1)
"),0.0)</f>
        <v>0</v>
      </c>
      <c r="F809" s="30" t="s">
        <v>25</v>
      </c>
      <c r="G809" s="2"/>
      <c r="H809" s="1" t="s">
        <v>0</v>
      </c>
      <c r="I809" s="2"/>
      <c r="J809" s="2"/>
      <c r="K809" s="1" t="s">
        <v>15</v>
      </c>
    </row>
    <row r="810" ht="15.75" customHeight="1">
      <c r="A810" s="1">
        <v>809.0</v>
      </c>
      <c r="B810" s="1">
        <v>20.0</v>
      </c>
      <c r="C810" s="4" t="s">
        <v>43</v>
      </c>
      <c r="D810" s="5" t="str">
        <f>IFERROR(__xludf.DUMMYFUNCTION("LET(
  words, TRANSPOSE(SPLIT($C810,""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0 po ang aking")</f>
        <v>, 0 po ang aking</v>
      </c>
      <c r="E810" s="3" t="str">
        <f>IFERROR(__xludf.DUMMYFUNCTION("INDEX(SPLIT($C810,"" ""), ROW()-ROW($E$757)+1)
"),"po")</f>
        <v>po</v>
      </c>
      <c r="F810" s="30" t="s">
        <v>16</v>
      </c>
      <c r="G810" s="2"/>
      <c r="H810" s="1" t="s">
        <v>0</v>
      </c>
      <c r="I810" s="2"/>
      <c r="J810" s="2"/>
      <c r="K810" s="1" t="s">
        <v>15</v>
      </c>
    </row>
    <row r="811" ht="15.75" customHeight="1">
      <c r="A811" s="1">
        <v>810.0</v>
      </c>
      <c r="B811" s="1">
        <v>20.0</v>
      </c>
      <c r="C811" s="4" t="s">
        <v>43</v>
      </c>
      <c r="D811" s="5" t="str">
        <f>IFERROR(__xludf.DUMMYFUNCTION("LET(
  words, TRANSPOSE(SPLIT($C811,""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)"),"0 po ang aking ano")</f>
        <v>0 po ang aking ano</v>
      </c>
      <c r="E811" s="3" t="str">
        <f>IFERROR(__xludf.DUMMYFUNCTION("INDEX(SPLIT($C811,"" ""), ROW()-ROW($E$757)+1)
"),"ang")</f>
        <v>ang</v>
      </c>
      <c r="F811" s="30" t="s">
        <v>16</v>
      </c>
      <c r="G811" s="2"/>
      <c r="H811" s="1" t="s">
        <v>0</v>
      </c>
      <c r="I811" s="2"/>
      <c r="J811" s="2"/>
      <c r="K811" s="1" t="s">
        <v>15</v>
      </c>
    </row>
    <row r="812" ht="15.75" customHeight="1">
      <c r="A812" s="1">
        <v>811.0</v>
      </c>
      <c r="B812" s="1">
        <v>20.0</v>
      </c>
      <c r="C812" s="4" t="s">
        <v>43</v>
      </c>
      <c r="D812" s="5" t="str">
        <f>IFERROR(__xludf.DUMMYFUNCTION("LET(
  words, TRANSPOSE(SPLIT($C812,""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 ang aking ano ,")</f>
        <v>po ang aking ano ,</v>
      </c>
      <c r="E812" s="3" t="str">
        <f>IFERROR(__xludf.DUMMYFUNCTION("INDEX(SPLIT($C812,"" ""), ROW()-ROW($E$757)+1)
"),"aking")</f>
        <v>aking</v>
      </c>
      <c r="F812" s="30" t="s">
        <v>16</v>
      </c>
      <c r="G812" s="2"/>
      <c r="H812" s="1" t="s">
        <v>0</v>
      </c>
      <c r="I812" s="2"/>
      <c r="J812" s="2"/>
      <c r="K812" s="1" t="s">
        <v>15</v>
      </c>
    </row>
    <row r="813" ht="15.75" customHeight="1">
      <c r="A813" s="1">
        <v>812.0</v>
      </c>
      <c r="B813" s="1">
        <v>20.0</v>
      </c>
      <c r="C813" s="4" t="s">
        <v>43</v>
      </c>
      <c r="D813" s="5" t="str">
        <f>IFERROR(__xludf.DUMMYFUNCTION("LET(
  words, TRANSPOSE(SPLIT($C813,""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)"),"ang aking ano , hindi")</f>
        <v>ang aking ano , hindi</v>
      </c>
      <c r="E813" s="3" t="str">
        <f>IFERROR(__xludf.DUMMYFUNCTION("INDEX(SPLIT($C813,"" ""), ROW()-ROW($E$757)+1)
"),"ano")</f>
        <v>ano</v>
      </c>
      <c r="F813" s="30" t="s">
        <v>16</v>
      </c>
      <c r="G813" s="2"/>
      <c r="H813" s="1" t="s">
        <v>0</v>
      </c>
      <c r="I813" s="2"/>
      <c r="J813" s="2"/>
      <c r="K813" s="1" t="s">
        <v>15</v>
      </c>
    </row>
    <row r="814" ht="15.75" customHeight="1">
      <c r="A814" s="1">
        <v>813.0</v>
      </c>
      <c r="B814" s="1">
        <v>20.0</v>
      </c>
      <c r="C814" s="4" t="s">
        <v>43</v>
      </c>
      <c r="D814" s="5" t="str">
        <f>IFERROR(__xludf.DUMMYFUNCTION("LET(
  words, TRANSPOSE(SPLIT($C814,""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)"),"aking ano , hindi ko")</f>
        <v>aking ano , hindi ko</v>
      </c>
      <c r="E814" s="3" t="str">
        <f>IFERROR(__xludf.DUMMYFUNCTION("INDEX(SPLIT($C814,"" ""), ROW()-ROW($E$757)+1)
"),",")</f>
        <v>,</v>
      </c>
      <c r="F814" s="30" t="s">
        <v>17</v>
      </c>
      <c r="G814" s="2"/>
      <c r="H814" s="1" t="s">
        <v>0</v>
      </c>
      <c r="I814" s="2"/>
      <c r="J814" s="2"/>
      <c r="K814" s="1" t="s">
        <v>15</v>
      </c>
    </row>
    <row r="815" ht="15.75" customHeight="1">
      <c r="A815" s="1">
        <v>814.0</v>
      </c>
      <c r="B815" s="1">
        <v>20.0</v>
      </c>
      <c r="C815" s="4" t="s">
        <v>43</v>
      </c>
      <c r="D815" s="5" t="str">
        <f>IFERROR(__xludf.DUMMYFUNCTION("LET(
  words, TRANSPOSE(SPLIT($C815,""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)"),"ano , hindi ko po")</f>
        <v>ano , hindi ko po</v>
      </c>
      <c r="E815" s="3" t="str">
        <f>IFERROR(__xludf.DUMMYFUNCTION("INDEX(SPLIT($C815,"" ""), ROW()-ROW($E$757)+1)
"),"hindi")</f>
        <v>hindi</v>
      </c>
      <c r="F815" s="30" t="s">
        <v>16</v>
      </c>
      <c r="G815" s="2"/>
      <c r="H815" s="1" t="s">
        <v>0</v>
      </c>
      <c r="I815" s="2"/>
      <c r="J815" s="2"/>
      <c r="K815" s="1" t="s">
        <v>15</v>
      </c>
    </row>
    <row r="816" ht="15.75" customHeight="1">
      <c r="A816" s="1">
        <v>815.0</v>
      </c>
      <c r="B816" s="1">
        <v>20.0</v>
      </c>
      <c r="C816" s="4" t="s">
        <v>43</v>
      </c>
      <c r="D816" s="5" t="str">
        <f>IFERROR(__xludf.DUMMYFUNCTION("LET(
  words, TRANSPOSE(SPLIT($C816,""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hindi ko po alam")</f>
        <v>, hindi ko po alam</v>
      </c>
      <c r="E816" s="3" t="str">
        <f>IFERROR(__xludf.DUMMYFUNCTION("INDEX(SPLIT($C816,"" ""), ROW()-ROW($E$757)+1)
"),"ko")</f>
        <v>ko</v>
      </c>
      <c r="F816" s="30" t="s">
        <v>16</v>
      </c>
      <c r="G816" s="2"/>
      <c r="H816" s="1" t="s">
        <v>0</v>
      </c>
      <c r="I816" s="2"/>
      <c r="J816" s="2"/>
      <c r="K816" s="1" t="s">
        <v>15</v>
      </c>
    </row>
    <row r="817" ht="15.75" customHeight="1">
      <c r="A817" s="1">
        <v>816.0</v>
      </c>
      <c r="B817" s="1">
        <v>20.0</v>
      </c>
      <c r="C817" s="4" t="s">
        <v>43</v>
      </c>
      <c r="D817" s="5" t="str">
        <f>IFERROR(__xludf.DUMMYFUNCTION("LET(
  words, TRANSPOSE(SPLIT($C817,""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)"),"hindi ko po alam kung")</f>
        <v>hindi ko po alam kung</v>
      </c>
      <c r="E817" s="3" t="str">
        <f>IFERROR(__xludf.DUMMYFUNCTION("INDEX(SPLIT($C817,"" ""), ROW()-ROW($E$757)+1)
"),"po")</f>
        <v>po</v>
      </c>
      <c r="F817" s="30" t="s">
        <v>16</v>
      </c>
      <c r="G817" s="2"/>
      <c r="H817" s="1" t="s">
        <v>0</v>
      </c>
      <c r="I817" s="2"/>
      <c r="J817" s="2"/>
      <c r="K817" s="1" t="s">
        <v>15</v>
      </c>
    </row>
    <row r="818" ht="15.75" customHeight="1">
      <c r="A818" s="1">
        <v>817.0</v>
      </c>
      <c r="B818" s="1">
        <v>20.0</v>
      </c>
      <c r="C818" s="4" t="s">
        <v>43</v>
      </c>
      <c r="D818" s="5" t="str">
        <f>IFERROR(__xludf.DUMMYFUNCTION("LET(
  words, TRANSPOSE(SPLIT($C818,""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)"),"ko po alam kung saan")</f>
        <v>ko po alam kung saan</v>
      </c>
      <c r="E818" s="3" t="str">
        <f>IFERROR(__xludf.DUMMYFUNCTION("INDEX(SPLIT($C818,"" ""), ROW()-ROW($E$757)+1)
"),"alam")</f>
        <v>alam</v>
      </c>
      <c r="F818" s="30" t="s">
        <v>16</v>
      </c>
      <c r="G818" s="2"/>
      <c r="H818" s="1" t="s">
        <v>0</v>
      </c>
      <c r="I818" s="2"/>
      <c r="J818" s="2"/>
      <c r="K818" s="1" t="s">
        <v>15</v>
      </c>
    </row>
    <row r="819" ht="15.75" customHeight="1">
      <c r="A819" s="1">
        <v>818.0</v>
      </c>
      <c r="B819" s="1">
        <v>20.0</v>
      </c>
      <c r="C819" s="4" t="s">
        <v>43</v>
      </c>
      <c r="D819" s="5" t="str">
        <f>IFERROR(__xludf.DUMMYFUNCTION("LET(
  words, TRANSPOSE(SPLIT($C819,""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 alam kung saan pupulutin")</f>
        <v>po alam kung saan pupulutin</v>
      </c>
      <c r="E819" s="3" t="str">
        <f>IFERROR(__xludf.DUMMYFUNCTION("INDEX(SPLIT($C819,"" ""), ROW()-ROW($E$757)+1)
"),"kung")</f>
        <v>kung</v>
      </c>
      <c r="F819" s="30" t="s">
        <v>16</v>
      </c>
      <c r="G819" s="2"/>
      <c r="H819" s="1" t="s">
        <v>0</v>
      </c>
      <c r="I819" s="2"/>
      <c r="J819" s="2"/>
      <c r="K819" s="1" t="s">
        <v>15</v>
      </c>
    </row>
    <row r="820" ht="15.75" customHeight="1">
      <c r="A820" s="1">
        <v>819.0</v>
      </c>
      <c r="B820" s="1">
        <v>20.0</v>
      </c>
      <c r="C820" s="4" t="s">
        <v>43</v>
      </c>
      <c r="D820" s="5" t="str">
        <f>IFERROR(__xludf.DUMMYFUNCTION("LET(
  words, TRANSPOSE(SPLIT($C820,""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)"),"alam kung saan pupulutin iyong")</f>
        <v>alam kung saan pupulutin iyong</v>
      </c>
      <c r="E820" s="3" t="str">
        <f>IFERROR(__xludf.DUMMYFUNCTION("INDEX(SPLIT($C820,"" ""), ROW()-ROW($E$757)+1)
"),"saan")</f>
        <v>saan</v>
      </c>
      <c r="F820" s="30" t="s">
        <v>16</v>
      </c>
      <c r="G820" s="2"/>
      <c r="H820" s="1" t="s">
        <v>0</v>
      </c>
      <c r="I820" s="2"/>
      <c r="J820" s="2"/>
      <c r="K820" s="1" t="s">
        <v>15</v>
      </c>
    </row>
    <row r="821" ht="15.75" customHeight="1">
      <c r="A821" s="1">
        <v>820.0</v>
      </c>
      <c r="B821" s="1">
        <v>20.0</v>
      </c>
      <c r="C821" s="4" t="s">
        <v>43</v>
      </c>
      <c r="D821" s="5" t="str">
        <f>IFERROR(__xludf.DUMMYFUNCTION("LET(
  words, TRANSPOSE(SPLIT($C821,""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)"),"kung saan pupulutin iyong aking")</f>
        <v>kung saan pupulutin iyong aking</v>
      </c>
      <c r="E821" s="3" t="str">
        <f>IFERROR(__xludf.DUMMYFUNCTION("INDEX(SPLIT($C821,"" ""), ROW()-ROW($E$757)+1)
"),"pupulutin")</f>
        <v>pupulutin</v>
      </c>
      <c r="F821" s="30" t="s">
        <v>16</v>
      </c>
      <c r="G821" s="2"/>
      <c r="H821" s="1" t="s">
        <v>0</v>
      </c>
      <c r="I821" s="2"/>
      <c r="J821" s="2"/>
      <c r="K821" s="1" t="s">
        <v>15</v>
      </c>
    </row>
    <row r="822" ht="15.75" customHeight="1">
      <c r="A822" s="1">
        <v>821.0</v>
      </c>
      <c r="B822" s="1">
        <v>20.0</v>
      </c>
      <c r="C822" s="4" t="s">
        <v>43</v>
      </c>
      <c r="D822" s="5" t="str">
        <f>IFERROR(__xludf.DUMMYFUNCTION("LET(
  words, TRANSPOSE(SPLIT($C822,""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)"),"saan pupulutin iyong aking pambayad")</f>
        <v>saan pupulutin iyong aking pambayad</v>
      </c>
      <c r="E822" s="3" t="str">
        <f>IFERROR(__xludf.DUMMYFUNCTION("INDEX(SPLIT($C822,"" ""), ROW()-ROW($E$757)+1)
"),"iyong")</f>
        <v>iyong</v>
      </c>
      <c r="F822" s="30" t="s">
        <v>16</v>
      </c>
      <c r="G822" s="2"/>
      <c r="H822" s="1" t="s">
        <v>0</v>
      </c>
      <c r="I822" s="2"/>
      <c r="J822" s="2"/>
      <c r="K822" s="1" t="s">
        <v>15</v>
      </c>
    </row>
    <row r="823" ht="15.75" customHeight="1">
      <c r="A823" s="1">
        <v>822.0</v>
      </c>
      <c r="B823" s="1">
        <v>20.0</v>
      </c>
      <c r="C823" s="4" t="s">
        <v>43</v>
      </c>
      <c r="D823" s="5" t="str">
        <f>IFERROR(__xludf.DUMMYFUNCTION("LET(
  words, TRANSPOSE(SPLIT($C823,""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)"),"pupulutin iyong aking pambayad sa")</f>
        <v>pupulutin iyong aking pambayad sa</v>
      </c>
      <c r="E823" s="3" t="str">
        <f>IFERROR(__xludf.DUMMYFUNCTION("INDEX(SPLIT($C823,"" ""), ROW()-ROW($E$757)+1)
"),"aking")</f>
        <v>aking</v>
      </c>
      <c r="F823" s="30" t="s">
        <v>16</v>
      </c>
      <c r="G823" s="2"/>
      <c r="H823" s="1" t="s">
        <v>0</v>
      </c>
      <c r="I823" s="2"/>
      <c r="J823" s="2"/>
      <c r="K823" s="1" t="s">
        <v>15</v>
      </c>
    </row>
    <row r="824" ht="15.75" customHeight="1">
      <c r="A824" s="1">
        <v>823.0</v>
      </c>
      <c r="B824" s="1">
        <v>20.0</v>
      </c>
      <c r="C824" s="4" t="s">
        <v>43</v>
      </c>
      <c r="D824" s="5" t="str">
        <f>IFERROR(__xludf.DUMMYFUNCTION("LET(
  words, TRANSPOSE(SPLIT($C824,""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)"),"iyong aking pambayad sa tax")</f>
        <v>iyong aking pambayad sa tax</v>
      </c>
      <c r="E824" s="3" t="str">
        <f>IFERROR(__xludf.DUMMYFUNCTION("INDEX(SPLIT($C824,"" ""), ROW()-ROW($E$757)+1)
"),"pambayad")</f>
        <v>pambayad</v>
      </c>
      <c r="F824" s="30" t="s">
        <v>16</v>
      </c>
      <c r="G824" s="2"/>
      <c r="H824" s="1" t="s">
        <v>0</v>
      </c>
      <c r="I824" s="2"/>
      <c r="J824" s="2"/>
      <c r="K824" s="1" t="s">
        <v>15</v>
      </c>
    </row>
    <row r="825" ht="15.75" customHeight="1">
      <c r="A825" s="1">
        <v>824.0</v>
      </c>
      <c r="B825" s="1">
        <v>20.0</v>
      </c>
      <c r="C825" s="4" t="s">
        <v>43</v>
      </c>
      <c r="D825" s="5" t="str">
        <f>IFERROR(__xludf.DUMMYFUNCTION("LET(
  words, TRANSPOSE(SPLIT($C825,""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)"),"aking pambayad sa tax ,")</f>
        <v>aking pambayad sa tax ,</v>
      </c>
      <c r="E825" s="3" t="str">
        <f>IFERROR(__xludf.DUMMYFUNCTION("INDEX(SPLIT($C825,"" ""), ROW()-ROW($E$757)+1)
"),"sa")</f>
        <v>sa</v>
      </c>
      <c r="F825" s="30" t="s">
        <v>16</v>
      </c>
      <c r="G825" s="2"/>
      <c r="H825" s="1" t="s">
        <v>0</v>
      </c>
      <c r="I825" s="2"/>
      <c r="J825" s="2"/>
      <c r="K825" s="1" t="s">
        <v>15</v>
      </c>
    </row>
    <row r="826" ht="15.75" customHeight="1">
      <c r="A826" s="1">
        <v>825.0</v>
      </c>
      <c r="B826" s="1">
        <v>20.0</v>
      </c>
      <c r="C826" s="4" t="s">
        <v>43</v>
      </c>
      <c r="D826" s="5" t="str">
        <f>IFERROR(__xludf.DUMMYFUNCTION("LET(
  words, TRANSPOSE(SPLIT($C826,""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)"),"pambayad sa tax ,")</f>
        <v>pambayad sa tax ,</v>
      </c>
      <c r="E826" s="3" t="str">
        <f>IFERROR(__xludf.DUMMYFUNCTION("INDEX(SPLIT($C826,"" ""), ROW()-ROW($E$757)+1)
"),"tax")</f>
        <v>tax</v>
      </c>
      <c r="F826" s="30" t="s">
        <v>18</v>
      </c>
      <c r="G826" s="2"/>
      <c r="H826" s="1" t="s">
        <v>0</v>
      </c>
      <c r="I826" s="2"/>
      <c r="J826" s="2"/>
      <c r="K826" s="1" t="s">
        <v>15</v>
      </c>
    </row>
    <row r="827" ht="15.75" customHeight="1">
      <c r="A827" s="10">
        <v>826.0</v>
      </c>
      <c r="B827" s="10">
        <v>20.0</v>
      </c>
      <c r="C827" s="7" t="s">
        <v>43</v>
      </c>
      <c r="D827" s="8" t="str">
        <f>IFERROR(__xludf.DUMMYFUNCTION("LET(
  words, TRANSPOSE(SPLIT($C827,"" "")),
  n, ROWS(words),
  i, ROW() - ROW($D$757)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tax ,")</f>
        <v>sa tax ,</v>
      </c>
      <c r="E827" s="9" t="str">
        <f>IFERROR(__xludf.DUMMYFUNCTION("INDEX(SPLIT($C827,"" ""), ROW()-ROW($E$757)+1)
"),",")</f>
        <v>,</v>
      </c>
      <c r="F827" s="32" t="s">
        <v>17</v>
      </c>
      <c r="G827" s="6"/>
      <c r="H827" s="10" t="s">
        <v>0</v>
      </c>
      <c r="I827" s="6"/>
      <c r="J827" s="6"/>
      <c r="K827" s="10" t="s">
        <v>15</v>
      </c>
      <c r="L827" s="6"/>
    </row>
    <row r="828" ht="15.75" customHeight="1">
      <c r="A828" s="1">
        <v>827.0</v>
      </c>
      <c r="B828" s="1">
        <v>21.0</v>
      </c>
      <c r="C828" s="4" t="s">
        <v>46</v>
      </c>
      <c r="D828" s="5" t="str">
        <f>IFERROR(__xludf.DUMMYFUNCTION("LET(
  words, TRANSPOSE(SPLIT($C828,"" "")),
  n, ROWS(words),
  i, ROW() - ROW($D$828)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)"),"halu madlang people")</f>
        <v>halu madlang people</v>
      </c>
      <c r="E828" s="3" t="str">
        <f>IFERROR(__xludf.DUMMYFUNCTION("INDEX(SPLIT($C828,"" ""), ROW()-ROW($E$828)+1)
"),"halu")</f>
        <v>halu</v>
      </c>
      <c r="F828" s="30" t="s">
        <v>18</v>
      </c>
      <c r="G828" s="1" t="s">
        <v>19</v>
      </c>
      <c r="H828" s="1" t="s">
        <v>0</v>
      </c>
      <c r="I828" s="2"/>
      <c r="J828" s="2"/>
      <c r="K828" s="1" t="s">
        <v>15</v>
      </c>
    </row>
    <row r="829" ht="15.75" customHeight="1">
      <c r="A829" s="1">
        <v>828.0</v>
      </c>
      <c r="B829" s="1">
        <v>21.0</v>
      </c>
      <c r="C829" s="4" t="s">
        <v>46</v>
      </c>
      <c r="D829" s="5" t="str">
        <f>IFERROR(__xludf.DUMMYFUNCTION("LET(
  words, TRANSPOSE(SPLIT($C829,"" "")),
  n, ROWS(words),
  i, ROW() - ROW($D$828)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)"),"halu madlang people if")</f>
        <v>halu madlang people if</v>
      </c>
      <c r="E829" s="3" t="str">
        <f>IFERROR(__xludf.DUMMYFUNCTION("INDEX(SPLIT($C829,"" ""), ROW()-ROW($E$828)+1)
"),"madlang")</f>
        <v>madlang</v>
      </c>
      <c r="F829" s="30" t="s">
        <v>16</v>
      </c>
      <c r="G829" s="2"/>
      <c r="H829" s="1" t="s">
        <v>0</v>
      </c>
      <c r="I829" s="2"/>
      <c r="J829" s="2"/>
      <c r="K829" s="1" t="s">
        <v>15</v>
      </c>
    </row>
    <row r="830" ht="15.75" customHeight="1">
      <c r="A830" s="1">
        <v>829.0</v>
      </c>
      <c r="B830" s="1">
        <v>21.0</v>
      </c>
      <c r="C830" s="4" t="s">
        <v>46</v>
      </c>
      <c r="D830" s="5" t="str">
        <f>IFERROR(__xludf.DUMMYFUNCTION("LET(
  words, TRANSPOSE(SPLIT($C830,"" "")),
  n, ROWS(words),
  i, ROW() - ROW($D$828)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)"),"halu madlang people if ever")</f>
        <v>halu madlang people if ever</v>
      </c>
      <c r="E830" s="3" t="str">
        <f>IFERROR(__xludf.DUMMYFUNCTION("INDEX(SPLIT($C830,"" ""), ROW()-ROW($E$828)+1)
"),"people")</f>
        <v>people</v>
      </c>
      <c r="F830" s="30" t="s">
        <v>18</v>
      </c>
      <c r="G830" s="2"/>
      <c r="H830" s="1" t="s">
        <v>0</v>
      </c>
      <c r="I830" s="2"/>
      <c r="J830" s="2"/>
      <c r="K830" s="1" t="s">
        <v>15</v>
      </c>
    </row>
    <row r="831" ht="15.75" customHeight="1">
      <c r="A831" s="1">
        <v>830.0</v>
      </c>
      <c r="B831" s="1">
        <v>21.0</v>
      </c>
      <c r="C831" s="4" t="s">
        <v>46</v>
      </c>
      <c r="D831" s="5" t="str">
        <f>IFERROR(__xludf.DUMMYFUNCTION("LET(
  words, TRANSPOSE(SPLIT($C831,"" "")),
  n, ROWS(words),
  i, ROW() - ROW($D$828)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)"),"madlang people if ever available")</f>
        <v>madlang people if ever available</v>
      </c>
      <c r="E831" s="3" t="str">
        <f>IFERROR(__xludf.DUMMYFUNCTION("INDEX(SPLIT($C831,"" ""), ROW()-ROW($E$828)+1)
"),"if")</f>
        <v>if</v>
      </c>
      <c r="F831" s="30" t="s">
        <v>18</v>
      </c>
      <c r="G831" s="2"/>
      <c r="H831" s="1" t="s">
        <v>0</v>
      </c>
      <c r="I831" s="2"/>
      <c r="J831" s="2"/>
      <c r="K831" s="1" t="s">
        <v>15</v>
      </c>
    </row>
    <row r="832" ht="15.75" customHeight="1">
      <c r="A832" s="1">
        <v>831.0</v>
      </c>
      <c r="B832" s="1">
        <v>21.0</v>
      </c>
      <c r="C832" s="4" t="s">
        <v>46</v>
      </c>
      <c r="D832" s="5" t="str">
        <f>IFERROR(__xludf.DUMMYFUNCTION("LET(
  words, TRANSPOSE(SPLIT($C832,"" "")),
  n, ROWS(words),
  i, ROW() - ROW($D$828)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)"),"people if ever available po")</f>
        <v>people if ever available po</v>
      </c>
      <c r="E832" s="3" t="str">
        <f>IFERROR(__xludf.DUMMYFUNCTION("INDEX(SPLIT($C832,"" ""), ROW()-ROW($E$828)+1)
"),"ever")</f>
        <v>ever</v>
      </c>
      <c r="F832" s="30" t="s">
        <v>18</v>
      </c>
      <c r="G832" s="2"/>
      <c r="H832" s="1" t="s">
        <v>0</v>
      </c>
      <c r="I832" s="2"/>
      <c r="J832" s="2"/>
      <c r="K832" s="1" t="s">
        <v>15</v>
      </c>
    </row>
    <row r="833" ht="15.75" customHeight="1">
      <c r="A833" s="1">
        <v>832.0</v>
      </c>
      <c r="B833" s="1">
        <v>21.0</v>
      </c>
      <c r="C833" s="4" t="s">
        <v>46</v>
      </c>
      <c r="D833" s="5" t="str">
        <f>IFERROR(__xludf.DUMMYFUNCTION("LET(
  words, TRANSPOSE(SPLIT($C833,"" "")),
  n, ROWS(words),
  i, ROW() - ROW($D$828)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)"),"if ever available po kau")</f>
        <v>if ever available po kau</v>
      </c>
      <c r="E833" s="3" t="str">
        <f>IFERROR(__xludf.DUMMYFUNCTION("INDEX(SPLIT($C833,"" ""), ROW()-ROW($E$828)+1)
"),"available")</f>
        <v>available</v>
      </c>
      <c r="F833" s="30" t="s">
        <v>18</v>
      </c>
      <c r="G833" s="2"/>
      <c r="H833" s="1" t="s">
        <v>0</v>
      </c>
      <c r="I833" s="2"/>
      <c r="J833" s="2"/>
      <c r="K833" s="1" t="s">
        <v>15</v>
      </c>
    </row>
    <row r="834" ht="15.75" customHeight="1">
      <c r="A834" s="1">
        <v>833.0</v>
      </c>
      <c r="B834" s="1">
        <v>21.0</v>
      </c>
      <c r="C834" s="4" t="s">
        <v>46</v>
      </c>
      <c r="D834" s="5" t="str">
        <f>IFERROR(__xludf.DUMMYFUNCTION("LET(
  words, TRANSPOSE(SPLIT($C834,"" "")),
  n, ROWS(words),
  i, ROW() - ROW($D$828)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)"),"ever available po kau hehe")</f>
        <v>ever available po kau hehe</v>
      </c>
      <c r="E834" s="3" t="str">
        <f>IFERROR(__xludf.DUMMYFUNCTION("INDEX(SPLIT($C834,"" ""), ROW()-ROW($E$828)+1)
"),"po")</f>
        <v>po</v>
      </c>
      <c r="F834" s="30" t="s">
        <v>16</v>
      </c>
      <c r="G834" s="2"/>
      <c r="H834" s="1" t="s">
        <v>0</v>
      </c>
      <c r="I834" s="2"/>
      <c r="J834" s="2"/>
      <c r="K834" s="1" t="s">
        <v>15</v>
      </c>
    </row>
    <row r="835" ht="15.75" customHeight="1">
      <c r="A835" s="1">
        <v>834.0</v>
      </c>
      <c r="B835" s="1">
        <v>21.0</v>
      </c>
      <c r="C835" s="4" t="s">
        <v>46</v>
      </c>
      <c r="D835" s="5" t="str">
        <f>IFERROR(__xludf.DUMMYFUNCTION("LET(
  words, TRANSPOSE(SPLIT($C835,"" "")),
  n, ROWS(words),
  i, ROW() - ROW($D$828)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)"),"available po kau hehe .")</f>
        <v>available po kau hehe .</v>
      </c>
      <c r="E835" s="3" t="str">
        <f>IFERROR(__xludf.DUMMYFUNCTION("INDEX(SPLIT($C835,"" ""), ROW()-ROW($E$828)+1)
"),"kau")</f>
        <v>kau</v>
      </c>
      <c r="F835" s="30" t="s">
        <v>16</v>
      </c>
      <c r="G835" s="1" t="s">
        <v>19</v>
      </c>
      <c r="H835" s="1" t="s">
        <v>0</v>
      </c>
      <c r="I835" s="2"/>
      <c r="J835" s="2"/>
      <c r="K835" s="1" t="s">
        <v>15</v>
      </c>
    </row>
    <row r="836" ht="15.75" customHeight="1">
      <c r="A836" s="1">
        <v>835.0</v>
      </c>
      <c r="B836" s="1">
        <v>21.0</v>
      </c>
      <c r="C836" s="4" t="s">
        <v>46</v>
      </c>
      <c r="D836" s="5" t="str">
        <f>IFERROR(__xludf.DUMMYFUNCTION("LET(
  words, TRANSPOSE(SPLIT($C836,"" "")),
  n, ROWS(words),
  i, ROW() - ROW($D$828)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 kau hehe . punta")</f>
        <v>po kau hehe . punta</v>
      </c>
      <c r="E836" s="3" t="str">
        <f>IFERROR(__xludf.DUMMYFUNCTION("INDEX(SPLIT($C836,"" ""), ROW()-ROW($E$828)+1)
"),"hehe")</f>
        <v>hehe</v>
      </c>
      <c r="F836" s="30" t="s">
        <v>13</v>
      </c>
      <c r="G836" s="1" t="s">
        <v>14</v>
      </c>
      <c r="H836" s="1" t="s">
        <v>0</v>
      </c>
      <c r="I836" s="2"/>
      <c r="J836" s="2"/>
      <c r="K836" s="1" t="s">
        <v>15</v>
      </c>
    </row>
    <row r="837" ht="15.75" customHeight="1">
      <c r="A837" s="1">
        <v>836.0</v>
      </c>
      <c r="B837" s="1">
        <v>21.0</v>
      </c>
      <c r="C837" s="4" t="s">
        <v>46</v>
      </c>
      <c r="D837" s="5" t="str">
        <f>IFERROR(__xludf.DUMMYFUNCTION("LET(
  words, TRANSPOSE(SPLIT($C837,"" "")),
  n, ROWS(words),
  i, ROW() - ROW($D$828)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)"),"kau hehe . punta kau")</f>
        <v>kau hehe . punta kau</v>
      </c>
      <c r="E837" s="3" t="str">
        <f>IFERROR(__xludf.DUMMYFUNCTION("INDEX(SPLIT($C837,"" ""), ROW()-ROW($E$828)+1)
"),".")</f>
        <v>.</v>
      </c>
      <c r="F837" s="30" t="s">
        <v>17</v>
      </c>
      <c r="G837" s="2"/>
      <c r="H837" s="1" t="s">
        <v>0</v>
      </c>
      <c r="I837" s="2"/>
      <c r="J837" s="2"/>
      <c r="K837" s="1" t="s">
        <v>15</v>
      </c>
    </row>
    <row r="838" ht="15.75" customHeight="1">
      <c r="A838" s="1">
        <v>837.0</v>
      </c>
      <c r="B838" s="1">
        <v>21.0</v>
      </c>
      <c r="C838" s="4" t="s">
        <v>46</v>
      </c>
      <c r="D838" s="5" t="str">
        <f>IFERROR(__xludf.DUMMYFUNCTION("LET(
  words, TRANSPOSE(SPLIT($C838,"" "")),
  n, ROWS(words),
  i, ROW() - ROW($D$828)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)"),"hehe . punta kau sunday")</f>
        <v>hehe . punta kau sunday</v>
      </c>
      <c r="E838" s="3" t="str">
        <f>IFERROR(__xludf.DUMMYFUNCTION("INDEX(SPLIT($C838,"" ""), ROW()-ROW($E$828)+1)
"),"punta")</f>
        <v>punta</v>
      </c>
      <c r="F838" s="30" t="s">
        <v>16</v>
      </c>
      <c r="G838" s="2"/>
      <c r="H838" s="1" t="s">
        <v>0</v>
      </c>
      <c r="I838" s="2"/>
      <c r="J838" s="2"/>
      <c r="K838" s="1" t="s">
        <v>15</v>
      </c>
    </row>
    <row r="839" ht="15.75" customHeight="1">
      <c r="A839" s="1">
        <v>838.0</v>
      </c>
      <c r="B839" s="1">
        <v>21.0</v>
      </c>
      <c r="C839" s="4" t="s">
        <v>46</v>
      </c>
      <c r="D839" s="5" t="str">
        <f>IFERROR(__xludf.DUMMYFUNCTION("LET(
  words, TRANSPOSE(SPLIT($C839,"" "")),
  n, ROWS(words),
  i, ROW() - ROW($D$828)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punta kau sunday 1")</f>
        <v>. punta kau sunday 1</v>
      </c>
      <c r="E839" s="3" t="str">
        <f>IFERROR(__xludf.DUMMYFUNCTION("INDEX(SPLIT($C839,"" ""), ROW()-ROW($E$828)+1)
"),"kau")</f>
        <v>kau</v>
      </c>
      <c r="F839" s="30" t="s">
        <v>16</v>
      </c>
      <c r="G839" s="1" t="s">
        <v>19</v>
      </c>
      <c r="H839" s="1" t="s">
        <v>0</v>
      </c>
      <c r="I839" s="2"/>
      <c r="J839" s="2"/>
      <c r="K839" s="1" t="s">
        <v>15</v>
      </c>
    </row>
    <row r="840" ht="15.75" customHeight="1">
      <c r="A840" s="1">
        <v>839.0</v>
      </c>
      <c r="B840" s="1">
        <v>21.0</v>
      </c>
      <c r="C840" s="4" t="s">
        <v>46</v>
      </c>
      <c r="D840" s="5" t="str">
        <f>IFERROR(__xludf.DUMMYFUNCTION("LET(
  words, TRANSPOSE(SPLIT($C840,"" "")),
  n, ROWS(words),
  i, ROW() - ROW($D$828)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)"),"punta kau sunday 1 pm")</f>
        <v>punta kau sunday 1 pm</v>
      </c>
      <c r="E840" s="3" t="str">
        <f>IFERROR(__xludf.DUMMYFUNCTION("INDEX(SPLIT($C840,"" ""), ROW()-ROW($E$828)+1)
"),"sunday")</f>
        <v>sunday</v>
      </c>
      <c r="F840" s="30" t="s">
        <v>18</v>
      </c>
      <c r="G840" s="2"/>
      <c r="H840" s="1" t="s">
        <v>0</v>
      </c>
      <c r="I840" s="2"/>
      <c r="J840" s="2"/>
      <c r="K840" s="1" t="s">
        <v>15</v>
      </c>
    </row>
    <row r="841" ht="15.75" customHeight="1">
      <c r="A841" s="1">
        <v>840.0</v>
      </c>
      <c r="B841" s="1">
        <v>21.0</v>
      </c>
      <c r="C841" s="4" t="s">
        <v>46</v>
      </c>
      <c r="D841" s="5" t="str">
        <f>IFERROR(__xludf.DUMMYFUNCTION("LET(
  words, TRANSPOSE(SPLIT($C841,"" "")),
  n, ROWS(words),
  i, ROW() - ROW($D$828)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)"),"kau sunday 1 pm amphi")</f>
        <v>kau sunday 1 pm amphi</v>
      </c>
      <c r="E841" s="3">
        <f>IFERROR(__xludf.DUMMYFUNCTION("INDEX(SPLIT($C841,"" ""), ROW()-ROW($E$828)+1)
"),1.0)</f>
        <v>1</v>
      </c>
      <c r="F841" s="30" t="s">
        <v>25</v>
      </c>
      <c r="G841" s="2"/>
      <c r="H841" s="1" t="s">
        <v>0</v>
      </c>
      <c r="I841" s="2"/>
      <c r="J841" s="2"/>
      <c r="K841" s="1" t="s">
        <v>15</v>
      </c>
    </row>
    <row r="842" ht="15.75" customHeight="1">
      <c r="A842" s="1">
        <v>841.0</v>
      </c>
      <c r="B842" s="1">
        <v>21.0</v>
      </c>
      <c r="C842" s="4" t="s">
        <v>46</v>
      </c>
      <c r="D842" s="5" t="str">
        <f>IFERROR(__xludf.DUMMYFUNCTION("LET(
  words, TRANSPOSE(SPLIT($C842,"" "")),
  n, ROWS(words),
  i, ROW() - ROW($D$828)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)"),"sunday 1 pm amphi concert")</f>
        <v>sunday 1 pm amphi concert</v>
      </c>
      <c r="E842" s="3" t="str">
        <f>IFERROR(__xludf.DUMMYFUNCTION("INDEX(SPLIT($C842,"" ""), ROW()-ROW($E$828)+1)
"),"pm")</f>
        <v>pm</v>
      </c>
      <c r="F842" s="30" t="s">
        <v>18</v>
      </c>
      <c r="G842" s="1" t="s">
        <v>19</v>
      </c>
      <c r="H842" s="1" t="s">
        <v>0</v>
      </c>
      <c r="I842" s="2"/>
      <c r="J842" s="2"/>
      <c r="K842" s="1" t="s">
        <v>15</v>
      </c>
    </row>
    <row r="843" ht="15.75" customHeight="1">
      <c r="A843" s="1">
        <v>842.0</v>
      </c>
      <c r="B843" s="1">
        <v>21.0</v>
      </c>
      <c r="C843" s="4" t="s">
        <v>46</v>
      </c>
      <c r="D843" s="5" t="str">
        <f>IFERROR(__xludf.DUMMYFUNCTION("LET(
  words, TRANSPOSE(SPLIT($C843,"" "")),
  n, ROWS(words),
  i, ROW() - ROW($D$828)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)"),"1 pm amphi concert itu")</f>
        <v>1 pm amphi concert itu</v>
      </c>
      <c r="E843" s="3" t="str">
        <f>IFERROR(__xludf.DUMMYFUNCTION("INDEX(SPLIT($C843,"" ""), ROW()-ROW($E$828)+1)
"),"amphi")</f>
        <v>amphi</v>
      </c>
      <c r="F843" s="30" t="s">
        <v>18</v>
      </c>
      <c r="G843" s="1" t="s">
        <v>19</v>
      </c>
      <c r="H843" s="1" t="s">
        <v>0</v>
      </c>
      <c r="I843" s="2"/>
      <c r="J843" s="2"/>
      <c r="K843" s="1" t="s">
        <v>15</v>
      </c>
    </row>
    <row r="844" ht="15.75" customHeight="1">
      <c r="A844" s="1">
        <v>843.0</v>
      </c>
      <c r="B844" s="1">
        <v>21.0</v>
      </c>
      <c r="C844" s="4" t="s">
        <v>46</v>
      </c>
      <c r="D844" s="5" t="str">
        <f>IFERROR(__xludf.DUMMYFUNCTION("LET(
  words, TRANSPOSE(SPLIT($C844,"" "")),
  n, ROWS(words),
  i, ROW() - ROW($D$828)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)"),"pm amphi concert itu tnx")</f>
        <v>pm amphi concert itu tnx</v>
      </c>
      <c r="E844" s="3" t="str">
        <f>IFERROR(__xludf.DUMMYFUNCTION("INDEX(SPLIT($C844,"" ""), ROW()-ROW($E$828)+1)
"),"concert")</f>
        <v>concert</v>
      </c>
      <c r="F844" s="30" t="s">
        <v>18</v>
      </c>
      <c r="G844" s="2"/>
      <c r="H844" s="1" t="s">
        <v>0</v>
      </c>
      <c r="I844" s="2"/>
      <c r="J844" s="2"/>
      <c r="K844" s="1" t="s">
        <v>15</v>
      </c>
    </row>
    <row r="845" ht="15.75" customHeight="1">
      <c r="A845" s="1">
        <v>844.0</v>
      </c>
      <c r="B845" s="1">
        <v>21.0</v>
      </c>
      <c r="C845" s="4" t="s">
        <v>46</v>
      </c>
      <c r="D845" s="5" t="str">
        <f>IFERROR(__xludf.DUMMYFUNCTION("LET(
  words, TRANSPOSE(SPLIT($C845,"" "")),
  n, ROWS(words),
  i, ROW() - ROW($D$828)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)"),"amphi concert itu tnx a")</f>
        <v>amphi concert itu tnx a</v>
      </c>
      <c r="E845" s="3" t="str">
        <f>IFERROR(__xludf.DUMMYFUNCTION("INDEX(SPLIT($C845,"" ""), ROW()-ROW($E$828)+1)
"),"itu")</f>
        <v>itu</v>
      </c>
      <c r="F845" s="30" t="s">
        <v>16</v>
      </c>
      <c r="G845" s="2"/>
      <c r="H845" s="1" t="s">
        <v>0</v>
      </c>
      <c r="I845" s="2"/>
      <c r="J845" s="2"/>
      <c r="K845" s="1" t="s">
        <v>15</v>
      </c>
    </row>
    <row r="846" ht="15.75" customHeight="1">
      <c r="A846" s="1">
        <v>845.0</v>
      </c>
      <c r="B846" s="1">
        <v>21.0</v>
      </c>
      <c r="C846" s="4" t="s">
        <v>46</v>
      </c>
      <c r="D846" s="5" t="str">
        <f>IFERROR(__xludf.DUMMYFUNCTION("LET(
  words, TRANSPOSE(SPLIT($C846,"" "")),
  n, ROWS(words),
  i, ROW() - ROW($D$828)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)"),"concert itu tnx a lot")</f>
        <v>concert itu tnx a lot</v>
      </c>
      <c r="E846" s="3" t="str">
        <f>IFERROR(__xludf.DUMMYFUNCTION("INDEX(SPLIT($C846,"" ""), ROW()-ROW($E$828)+1)
"),"tnx")</f>
        <v>tnx</v>
      </c>
      <c r="F846" s="30" t="s">
        <v>18</v>
      </c>
      <c r="G846" s="1" t="s">
        <v>19</v>
      </c>
      <c r="H846" s="1" t="s">
        <v>0</v>
      </c>
      <c r="I846" s="2"/>
      <c r="J846" s="2"/>
      <c r="K846" s="1" t="s">
        <v>15</v>
      </c>
    </row>
    <row r="847" ht="15.75" customHeight="1">
      <c r="A847" s="1">
        <v>846.0</v>
      </c>
      <c r="B847" s="1">
        <v>21.0</v>
      </c>
      <c r="C847" s="4" t="s">
        <v>46</v>
      </c>
      <c r="D847" s="5" t="str">
        <f>IFERROR(__xludf.DUMMYFUNCTION("LET(
  words, TRANSPOSE(SPLIT($C847,"" "")),
  n, ROWS(words),
  i, ROW() - ROW($D$828)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)"),"itu tnx a lot")</f>
        <v>itu tnx a lot</v>
      </c>
      <c r="E847" s="3" t="str">
        <f>IFERROR(__xludf.DUMMYFUNCTION("INDEX(SPLIT($C847,"" ""), ROW()-ROW($E$828)+1)
"),"a")</f>
        <v>a</v>
      </c>
      <c r="F847" s="30" t="s">
        <v>18</v>
      </c>
      <c r="G847" s="2"/>
      <c r="H847" s="1" t="s">
        <v>0</v>
      </c>
      <c r="I847" s="2"/>
      <c r="J847" s="2"/>
      <c r="K847" s="1" t="s">
        <v>15</v>
      </c>
    </row>
    <row r="848" ht="15.75" customHeight="1">
      <c r="A848" s="10">
        <v>847.0</v>
      </c>
      <c r="B848" s="10">
        <v>21.0</v>
      </c>
      <c r="C848" s="7" t="s">
        <v>46</v>
      </c>
      <c r="D848" s="8" t="str">
        <f>IFERROR(__xludf.DUMMYFUNCTION("LET(
  words, TRANSPOSE(SPLIT($C848,"" "")),
  n, ROWS(words),
  i, ROW() - ROW($D$828)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)"),"tnx a lot")</f>
        <v>tnx a lot</v>
      </c>
      <c r="E848" s="9" t="str">
        <f>IFERROR(__xludf.DUMMYFUNCTION("INDEX(SPLIT($C848,"" ""), ROW()-ROW($E$828)+1)
"),"lot")</f>
        <v>lot</v>
      </c>
      <c r="F848" s="32" t="s">
        <v>18</v>
      </c>
      <c r="G848" s="6"/>
      <c r="H848" s="10" t="s">
        <v>0</v>
      </c>
      <c r="I848" s="6"/>
      <c r="J848" s="6"/>
      <c r="K848" s="10" t="s">
        <v>15</v>
      </c>
      <c r="L848" s="6"/>
    </row>
    <row r="849" ht="15.75" customHeight="1">
      <c r="A849" s="1">
        <v>848.0</v>
      </c>
      <c r="B849" s="1">
        <v>22.0</v>
      </c>
      <c r="C849" s="4" t="s">
        <v>47</v>
      </c>
      <c r="D849" s="38" t="str">
        <f>IFERROR(__xludf.DUMMYFUNCTION("LET(
  words, TRANSPOSE(SPLIT($C849,""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)"),"meron po !")</f>
        <v>meron po !</v>
      </c>
      <c r="E849" s="39" t="str">
        <f>IFERROR(__xludf.DUMMYFUNCTION("INDEX(SPLIT($C849,"" ""), ROW()-ROW($E$849)+1)
"),"meron")</f>
        <v>meron</v>
      </c>
      <c r="F849" s="30" t="s">
        <v>16</v>
      </c>
      <c r="G849" s="2"/>
      <c r="H849" s="1" t="s">
        <v>0</v>
      </c>
      <c r="I849" s="2"/>
      <c r="J849" s="2"/>
      <c r="K849" s="1" t="s">
        <v>15</v>
      </c>
    </row>
    <row r="850" ht="15.75" customHeight="1">
      <c r="A850" s="1">
        <v>849.0</v>
      </c>
      <c r="B850" s="1">
        <v>22.0</v>
      </c>
      <c r="C850" s="4" t="s">
        <v>47</v>
      </c>
      <c r="D850" s="38" t="str">
        <f>IFERROR(__xludf.DUMMYFUNCTION("LET(
  words, TRANSPOSE(SPLIT($C850,""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)"),"meron po ! !")</f>
        <v>meron po ! !</v>
      </c>
      <c r="E850" s="39" t="str">
        <f>IFERROR(__xludf.DUMMYFUNCTION("INDEX(SPLIT($C850,"" ""), ROW()-ROW($E$849)+1)
"),"po")</f>
        <v>po</v>
      </c>
      <c r="F850" s="30" t="s">
        <v>16</v>
      </c>
      <c r="G850" s="2"/>
      <c r="H850" s="1" t="s">
        <v>0</v>
      </c>
      <c r="I850" s="2"/>
      <c r="J850" s="2"/>
      <c r="K850" s="1" t="s">
        <v>15</v>
      </c>
    </row>
    <row r="851" ht="15.75" customHeight="1">
      <c r="A851" s="1">
        <v>850.0</v>
      </c>
      <c r="B851" s="1">
        <v>22.0</v>
      </c>
      <c r="C851" s="4" t="s">
        <v>47</v>
      </c>
      <c r="D851" s="38" t="str">
        <f>IFERROR(__xludf.DUMMYFUNCTION("LET(
  words, TRANSPOSE(SPLIT($C851,""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)"),"meron po ! ! !")</f>
        <v>meron po ! ! !</v>
      </c>
      <c r="E851" s="39" t="str">
        <f>IFERROR(__xludf.DUMMYFUNCTION("INDEX(SPLIT($C851,"" ""), ROW()-ROW($E$849)+1)
"),"!")</f>
        <v>!</v>
      </c>
      <c r="F851" s="30" t="s">
        <v>17</v>
      </c>
      <c r="G851" s="2"/>
      <c r="H851" s="1" t="s">
        <v>0</v>
      </c>
      <c r="I851" s="2"/>
      <c r="J851" s="2"/>
      <c r="K851" s="1" t="s">
        <v>15</v>
      </c>
    </row>
    <row r="852" ht="15.75" customHeight="1">
      <c r="A852" s="1">
        <v>851.0</v>
      </c>
      <c r="B852" s="1">
        <v>22.0</v>
      </c>
      <c r="C852" s="4" t="s">
        <v>47</v>
      </c>
      <c r="D852" s="38" t="str">
        <f>IFERROR(__xludf.DUMMYFUNCTION("LET(
  words, TRANSPOSE(SPLIT($C852,""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 ! ! ! bili")</f>
        <v>po ! ! ! bili</v>
      </c>
      <c r="E852" s="39" t="str">
        <f>IFERROR(__xludf.DUMMYFUNCTION("INDEX(SPLIT($C852,"" ""), ROW()-ROW($E$849)+1)
"),"!")</f>
        <v>!</v>
      </c>
      <c r="F852" s="30" t="s">
        <v>17</v>
      </c>
      <c r="G852" s="2"/>
      <c r="H852" s="1" t="s">
        <v>0</v>
      </c>
      <c r="I852" s="2"/>
      <c r="J852" s="2"/>
      <c r="K852" s="1" t="s">
        <v>15</v>
      </c>
    </row>
    <row r="853" ht="15.75" customHeight="1">
      <c r="A853" s="1">
        <v>852.0</v>
      </c>
      <c r="B853" s="1">
        <v>22.0</v>
      </c>
      <c r="C853" s="4" t="s">
        <v>47</v>
      </c>
      <c r="D853" s="38" t="str">
        <f>IFERROR(__xludf.DUMMYFUNCTION("LET(
  words, TRANSPOSE(SPLIT($C853,""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)"),"! ! ! bili ka")</f>
        <v>! ! ! bili ka</v>
      </c>
      <c r="E853" s="39" t="str">
        <f>IFERROR(__xludf.DUMMYFUNCTION("INDEX(SPLIT($C853,"" ""), ROW()-ROW($E$849)+1)
"),"!")</f>
        <v>!</v>
      </c>
      <c r="F853" s="30" t="s">
        <v>17</v>
      </c>
      <c r="G853" s="2"/>
      <c r="H853" s="1" t="s">
        <v>0</v>
      </c>
      <c r="I853" s="2"/>
      <c r="J853" s="2"/>
      <c r="K853" s="1" t="s">
        <v>15</v>
      </c>
    </row>
    <row r="854" ht="15.75" customHeight="1">
      <c r="A854" s="1">
        <v>853.0</v>
      </c>
      <c r="B854" s="1">
        <v>22.0</v>
      </c>
      <c r="C854" s="4" t="s">
        <v>47</v>
      </c>
      <c r="D854" s="38" t="str">
        <f>IFERROR(__xludf.DUMMYFUNCTION("LET(
  words, TRANSPOSE(SPLIT($C854,""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)"),"! ! bili ka po")</f>
        <v>! ! bili ka po</v>
      </c>
      <c r="E854" s="39" t="str">
        <f>IFERROR(__xludf.DUMMYFUNCTION("INDEX(SPLIT($C854,"" ""), ROW()-ROW($E$849)+1)
"),"bili")</f>
        <v>bili</v>
      </c>
      <c r="F854" s="30" t="s">
        <v>16</v>
      </c>
      <c r="G854" s="2"/>
      <c r="H854" s="1" t="s">
        <v>0</v>
      </c>
      <c r="I854" s="2"/>
      <c r="J854" s="2"/>
      <c r="K854" s="1" t="s">
        <v>15</v>
      </c>
    </row>
    <row r="855" ht="15.75" customHeight="1">
      <c r="A855" s="1">
        <v>854.0</v>
      </c>
      <c r="B855" s="1">
        <v>22.0</v>
      </c>
      <c r="C855" s="4" t="s">
        <v>47</v>
      </c>
      <c r="D855" s="38" t="str">
        <f>IFERROR(__xludf.DUMMYFUNCTION("LET(
  words, TRANSPOSE(SPLIT($C855,""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)"),"! bili ka po maam")</f>
        <v>! bili ka po maam</v>
      </c>
      <c r="E855" s="39" t="str">
        <f>IFERROR(__xludf.DUMMYFUNCTION("INDEX(SPLIT($C855,"" ""), ROW()-ROW($E$849)+1)
"),"ka")</f>
        <v>ka</v>
      </c>
      <c r="F855" s="30" t="s">
        <v>16</v>
      </c>
      <c r="G855" s="2"/>
      <c r="H855" s="1" t="s">
        <v>0</v>
      </c>
      <c r="I855" s="2"/>
      <c r="J855" s="2"/>
      <c r="K855" s="1" t="s">
        <v>15</v>
      </c>
    </row>
    <row r="856" ht="15.75" customHeight="1">
      <c r="A856" s="1">
        <v>855.0</v>
      </c>
      <c r="B856" s="1">
        <v>22.0</v>
      </c>
      <c r="C856" s="4" t="s">
        <v>47</v>
      </c>
      <c r="D856" s="38" t="str">
        <f>IFERROR(__xludf.DUMMYFUNCTION("LET(
  words, TRANSPOSE(SPLIT($C856,""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)"),"bili ka po maam roussballs")</f>
        <v>bili ka po maam roussballs</v>
      </c>
      <c r="E856" s="39" t="str">
        <f>IFERROR(__xludf.DUMMYFUNCTION("INDEX(SPLIT($C856,"" ""), ROW()-ROW($E$849)+1)
"),"po")</f>
        <v>po</v>
      </c>
      <c r="F856" s="30" t="s">
        <v>16</v>
      </c>
      <c r="G856" s="2"/>
      <c r="H856" s="1" t="s">
        <v>0</v>
      </c>
      <c r="I856" s="2"/>
      <c r="J856" s="2"/>
      <c r="K856" s="1" t="s">
        <v>15</v>
      </c>
    </row>
    <row r="857" ht="15.75" customHeight="1">
      <c r="A857" s="1">
        <v>856.0</v>
      </c>
      <c r="B857" s="1">
        <v>22.0</v>
      </c>
      <c r="C857" s="4" t="s">
        <v>47</v>
      </c>
      <c r="D857" s="38" t="str">
        <f>IFERROR(__xludf.DUMMYFUNCTION("LET(
  words, TRANSPOSE(SPLIT($C857,""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 po maam roussballs onigiring")</f>
        <v>ka po maam roussballs onigiring</v>
      </c>
      <c r="E857" s="39" t="str">
        <f>IFERROR(__xludf.DUMMYFUNCTION("INDEX(SPLIT($C857,"" ""), ROW()-ROW($E$849)+1)
"),"maam")</f>
        <v>maam</v>
      </c>
      <c r="F857" s="30" t="s">
        <v>18</v>
      </c>
      <c r="G857" s="2"/>
      <c r="H857" s="1" t="s">
        <v>0</v>
      </c>
      <c r="I857" s="2"/>
      <c r="J857" s="2"/>
      <c r="K857" s="1" t="s">
        <v>15</v>
      </c>
    </row>
    <row r="858" ht="15.75" customHeight="1">
      <c r="A858" s="1">
        <v>857.0</v>
      </c>
      <c r="B858" s="1">
        <v>22.0</v>
      </c>
      <c r="C858" s="4" t="s">
        <v>47</v>
      </c>
      <c r="D858" s="38" t="str">
        <f>IFERROR(__xludf.DUMMYFUNCTION("LET(
  words, TRANSPOSE(SPLIT($C858,""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 maam roussballs onigiring hindi")</f>
        <v>po maam roussballs onigiring hindi</v>
      </c>
      <c r="E858" s="39" t="str">
        <f>IFERROR(__xludf.DUMMYFUNCTION("INDEX(SPLIT($C858,"" ""), ROW()-ROW($E$849)+1)
"),"roussballs")</f>
        <v>roussballs</v>
      </c>
      <c r="F858" s="30" t="s">
        <v>13</v>
      </c>
      <c r="G858" s="1" t="s">
        <v>28</v>
      </c>
      <c r="H858" s="1" t="s">
        <v>0</v>
      </c>
      <c r="I858" s="2"/>
      <c r="J858" s="2"/>
      <c r="K858" s="1" t="s">
        <v>15</v>
      </c>
    </row>
    <row r="859" ht="15.75" customHeight="1">
      <c r="A859" s="1">
        <v>858.0</v>
      </c>
      <c r="B859" s="1">
        <v>22.0</v>
      </c>
      <c r="C859" s="4" t="s">
        <v>47</v>
      </c>
      <c r="D859" s="38" t="str">
        <f>IFERROR(__xludf.DUMMYFUNCTION("LET(
  words, TRANSPOSE(SPLIT($C859,""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)"),"maam roussballs onigiring hindi masakit")</f>
        <v>maam roussballs onigiring hindi masakit</v>
      </c>
      <c r="E859" s="39" t="str">
        <f>IFERROR(__xludf.DUMMYFUNCTION("INDEX(SPLIT($C859,"" ""), ROW()-ROW($E$849)+1)
"),"onigiring")</f>
        <v>onigiring</v>
      </c>
      <c r="F859" s="30" t="s">
        <v>13</v>
      </c>
      <c r="G859" s="2"/>
      <c r="H859" s="1" t="s">
        <v>0</v>
      </c>
      <c r="I859" s="2"/>
      <c r="J859" s="2"/>
      <c r="K859" s="1" t="s">
        <v>15</v>
      </c>
    </row>
    <row r="860" ht="15.75" customHeight="1">
      <c r="A860" s="1">
        <v>859.0</v>
      </c>
      <c r="B860" s="1">
        <v>22.0</v>
      </c>
      <c r="C860" s="4" t="s">
        <v>47</v>
      </c>
      <c r="D860" s="38" t="str">
        <f>IFERROR(__xludf.DUMMYFUNCTION("LET(
  words, TRANSPOSE(SPLIT($C860,""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)"),"roussballs onigiring hindi masakit sa")</f>
        <v>roussballs onigiring hindi masakit sa</v>
      </c>
      <c r="E860" s="39" t="str">
        <f>IFERROR(__xludf.DUMMYFUNCTION("INDEX(SPLIT($C860,"" ""), ROW()-ROW($E$849)+1)
"),"hindi")</f>
        <v>hindi</v>
      </c>
      <c r="F860" s="30" t="s">
        <v>16</v>
      </c>
      <c r="G860" s="2"/>
      <c r="H860" s="1" t="s">
        <v>0</v>
      </c>
      <c r="I860" s="2"/>
      <c r="J860" s="2"/>
      <c r="K860" s="1" t="s">
        <v>15</v>
      </c>
    </row>
    <row r="861" ht="15.75" customHeight="1">
      <c r="A861" s="1">
        <v>860.0</v>
      </c>
      <c r="B861" s="1">
        <v>22.0</v>
      </c>
      <c r="C861" s="4" t="s">
        <v>47</v>
      </c>
      <c r="D861" s="38" t="str">
        <f>IFERROR(__xludf.DUMMYFUNCTION("LET(
  words, TRANSPOSE(SPLIT($C861,""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)"),"onigiring hindi masakit sa bulsa")</f>
        <v>onigiring hindi masakit sa bulsa</v>
      </c>
      <c r="E861" s="39" t="str">
        <f>IFERROR(__xludf.DUMMYFUNCTION("INDEX(SPLIT($C861,"" ""), ROW()-ROW($E$849)+1)
"),"masakit")</f>
        <v>masakit</v>
      </c>
      <c r="F861" s="30" t="s">
        <v>16</v>
      </c>
      <c r="G861" s="2"/>
      <c r="H861" s="1" t="s">
        <v>0</v>
      </c>
      <c r="I861" s="2"/>
      <c r="J861" s="2"/>
      <c r="K861" s="1" t="s">
        <v>15</v>
      </c>
    </row>
    <row r="862" ht="15.75" customHeight="1">
      <c r="A862" s="1">
        <v>861.0</v>
      </c>
      <c r="B862" s="1">
        <v>22.0</v>
      </c>
      <c r="C862" s="4" t="s">
        <v>47</v>
      </c>
      <c r="D862" s="38" t="str">
        <f>IFERROR(__xludf.DUMMYFUNCTION("LET(
  words, TRANSPOSE(SPLIT($C862,""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)"),"hindi masakit sa bulsa nyaaaah")</f>
        <v>hindi masakit sa bulsa nyaaaah</v>
      </c>
      <c r="E862" s="39" t="str">
        <f>IFERROR(__xludf.DUMMYFUNCTION("INDEX(SPLIT($C862,"" ""), ROW()-ROW($E$849)+1)
"),"sa")</f>
        <v>sa</v>
      </c>
      <c r="F862" s="30" t="s">
        <v>16</v>
      </c>
      <c r="G862" s="2"/>
      <c r="H862" s="1" t="s">
        <v>0</v>
      </c>
      <c r="I862" s="2"/>
      <c r="J862" s="2"/>
      <c r="K862" s="1" t="s">
        <v>15</v>
      </c>
    </row>
    <row r="863" ht="15.75" customHeight="1">
      <c r="A863" s="1">
        <v>862.0</v>
      </c>
      <c r="B863" s="1">
        <v>22.0</v>
      </c>
      <c r="C863" s="4" t="s">
        <v>47</v>
      </c>
      <c r="D863" s="38" t="str">
        <f>IFERROR(__xludf.DUMMYFUNCTION("LET(
  words, TRANSPOSE(SPLIT($C863,""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)"),"masakit sa bulsa nyaaaah sobrang")</f>
        <v>masakit sa bulsa nyaaaah sobrang</v>
      </c>
      <c r="E863" s="39" t="str">
        <f>IFERROR(__xludf.DUMMYFUNCTION("INDEX(SPLIT($C863,"" ""), ROW()-ROW($E$849)+1)
"),"bulsa")</f>
        <v>bulsa</v>
      </c>
      <c r="F863" s="30" t="s">
        <v>16</v>
      </c>
      <c r="G863" s="2"/>
      <c r="H863" s="1" t="s">
        <v>0</v>
      </c>
      <c r="I863" s="2"/>
      <c r="J863" s="2"/>
      <c r="K863" s="1" t="s">
        <v>15</v>
      </c>
    </row>
    <row r="864" ht="15.75" customHeight="1">
      <c r="A864" s="1">
        <v>863.0</v>
      </c>
      <c r="B864" s="1">
        <v>22.0</v>
      </c>
      <c r="C864" s="4" t="s">
        <v>47</v>
      </c>
      <c r="D864" s="38" t="str">
        <f>IFERROR(__xludf.DUMMYFUNCTION("LET(
  words, TRANSPOSE(SPLIT($C864,""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bulsa nyaaaah sobrang sarap")</f>
        <v>sa bulsa nyaaaah sobrang sarap</v>
      </c>
      <c r="E864" s="39" t="str">
        <f>IFERROR(__xludf.DUMMYFUNCTION("INDEX(SPLIT($C864,"" ""), ROW()-ROW($E$849)+1)
"),"nyaaaah")</f>
        <v>nyaaaah</v>
      </c>
      <c r="F864" s="30" t="s">
        <v>13</v>
      </c>
      <c r="G864" s="1" t="s">
        <v>14</v>
      </c>
      <c r="H864" s="1" t="s">
        <v>0</v>
      </c>
      <c r="I864" s="2"/>
      <c r="J864" s="2"/>
      <c r="K864" s="1" t="s">
        <v>15</v>
      </c>
    </row>
    <row r="865" ht="15.75" customHeight="1">
      <c r="A865" s="1">
        <v>864.0</v>
      </c>
      <c r="B865" s="1">
        <v>22.0</v>
      </c>
      <c r="C865" s="4" t="s">
        <v>47</v>
      </c>
      <c r="D865" s="38" t="str">
        <f>IFERROR(__xludf.DUMMYFUNCTION("LET(
  words, TRANSPOSE(SPLIT($C865,""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)"),"bulsa nyaaaah sobrang sarap pati")</f>
        <v>bulsa nyaaaah sobrang sarap pati</v>
      </c>
      <c r="E865" s="39" t="str">
        <f>IFERROR(__xludf.DUMMYFUNCTION("INDEX(SPLIT($C865,"" ""), ROW()-ROW($E$849)+1)
"),"sobrang")</f>
        <v>sobrang</v>
      </c>
      <c r="F865" s="30" t="s">
        <v>16</v>
      </c>
      <c r="G865" s="2"/>
      <c r="H865" s="1" t="s">
        <v>0</v>
      </c>
      <c r="I865" s="2"/>
      <c r="J865" s="2"/>
      <c r="K865" s="1" t="s">
        <v>15</v>
      </c>
    </row>
    <row r="866" ht="15.75" customHeight="1">
      <c r="A866" s="1">
        <v>865.0</v>
      </c>
      <c r="B866" s="1">
        <v>22.0</v>
      </c>
      <c r="C866" s="4" t="s">
        <v>47</v>
      </c>
      <c r="D866" s="38" t="str">
        <f>IFERROR(__xludf.DUMMYFUNCTION("LET(
  words, TRANSPOSE(SPLIT($C866,""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)"),"nyaaaah sobrang sarap pati wallet")</f>
        <v>nyaaaah sobrang sarap pati wallet</v>
      </c>
      <c r="E866" s="39" t="str">
        <f>IFERROR(__xludf.DUMMYFUNCTION("INDEX(SPLIT($C866,"" ""), ROW()-ROW($E$849)+1)
"),"sarap")</f>
        <v>sarap</v>
      </c>
      <c r="F866" s="30" t="s">
        <v>16</v>
      </c>
      <c r="G866" s="2"/>
      <c r="H866" s="1" t="s">
        <v>0</v>
      </c>
      <c r="I866" s="2"/>
      <c r="J866" s="2"/>
      <c r="K866" s="1" t="s">
        <v>15</v>
      </c>
    </row>
    <row r="867" ht="15.75" customHeight="1">
      <c r="A867" s="1">
        <v>866.0</v>
      </c>
      <c r="B867" s="1">
        <v>22.0</v>
      </c>
      <c r="C867" s="4" t="s">
        <v>47</v>
      </c>
      <c r="D867" s="38" t="str">
        <f>IFERROR(__xludf.DUMMYFUNCTION("LET(
  words, TRANSPOSE(SPLIT($C867,""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)"),"sobrang sarap pati wallet mo")</f>
        <v>sobrang sarap pati wallet mo</v>
      </c>
      <c r="E867" s="39" t="str">
        <f>IFERROR(__xludf.DUMMYFUNCTION("INDEX(SPLIT($C867,"" ""), ROW()-ROW($E$849)+1)
"),"pati")</f>
        <v>pati</v>
      </c>
      <c r="F867" s="30" t="s">
        <v>16</v>
      </c>
      <c r="G867" s="2"/>
      <c r="H867" s="1" t="s">
        <v>0</v>
      </c>
      <c r="I867" s="2"/>
      <c r="J867" s="2"/>
      <c r="K867" s="1" t="s">
        <v>15</v>
      </c>
    </row>
    <row r="868" ht="15.75" customHeight="1">
      <c r="A868" s="1">
        <v>867.0</v>
      </c>
      <c r="B868" s="1">
        <v>22.0</v>
      </c>
      <c r="C868" s="4" t="s">
        <v>47</v>
      </c>
      <c r="D868" s="38" t="str">
        <f>IFERROR(__xludf.DUMMYFUNCTION("LET(
  words, TRANSPOSE(SPLIT($C868,""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)"),"sarap pati wallet mo maam")</f>
        <v>sarap pati wallet mo maam</v>
      </c>
      <c r="E868" s="39" t="str">
        <f>IFERROR(__xludf.DUMMYFUNCTION("INDEX(SPLIT($C868,"" ""), ROW()-ROW($E$849)+1)
"),"wallet")</f>
        <v>wallet</v>
      </c>
      <c r="F868" s="30" t="s">
        <v>18</v>
      </c>
      <c r="G868" s="2"/>
      <c r="H868" s="1" t="s">
        <v>0</v>
      </c>
      <c r="I868" s="2"/>
      <c r="J868" s="2"/>
      <c r="K868" s="1" t="s">
        <v>15</v>
      </c>
    </row>
    <row r="869" ht="15.75" customHeight="1">
      <c r="A869" s="1">
        <v>868.0</v>
      </c>
      <c r="B869" s="1">
        <v>22.0</v>
      </c>
      <c r="C869" s="4" t="s">
        <v>47</v>
      </c>
      <c r="D869" s="38" t="str">
        <f>IFERROR(__xludf.DUMMYFUNCTION("LET(
  words, TRANSPOSE(SPLIT($C869,""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)"),"pati wallet mo maam langhap")</f>
        <v>pati wallet mo maam langhap</v>
      </c>
      <c r="E869" s="39" t="str">
        <f>IFERROR(__xludf.DUMMYFUNCTION("INDEX(SPLIT($C869,"" ""), ROW()-ROW($E$849)+1)
"),"mo")</f>
        <v>mo</v>
      </c>
      <c r="F869" s="30" t="s">
        <v>16</v>
      </c>
      <c r="G869" s="2"/>
      <c r="H869" s="1" t="s">
        <v>0</v>
      </c>
      <c r="I869" s="2"/>
      <c r="J869" s="2"/>
      <c r="K869" s="1" t="s">
        <v>15</v>
      </c>
    </row>
    <row r="870" ht="15.75" customHeight="1">
      <c r="A870" s="1">
        <v>869.0</v>
      </c>
      <c r="B870" s="1">
        <v>22.0</v>
      </c>
      <c r="C870" s="4" t="s">
        <v>47</v>
      </c>
      <c r="D870" s="38" t="str">
        <f>IFERROR(__xludf.DUMMYFUNCTION("LET(
  words, TRANSPOSE(SPLIT($C870,""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)"),"wallet mo maam langhap sarap")</f>
        <v>wallet mo maam langhap sarap</v>
      </c>
      <c r="E870" s="39" t="str">
        <f>IFERROR(__xludf.DUMMYFUNCTION("INDEX(SPLIT($C870,"" ""), ROW()-ROW($E$849)+1)
"),"maam")</f>
        <v>maam</v>
      </c>
      <c r="F870" s="30" t="s">
        <v>18</v>
      </c>
      <c r="G870" s="2"/>
      <c r="H870" s="1" t="s">
        <v>0</v>
      </c>
      <c r="I870" s="2"/>
      <c r="J870" s="2"/>
      <c r="K870" s="1" t="s">
        <v>15</v>
      </c>
    </row>
    <row r="871" ht="15.75" customHeight="1">
      <c r="A871" s="1">
        <v>870.0</v>
      </c>
      <c r="B871" s="1">
        <v>22.0</v>
      </c>
      <c r="C871" s="4" t="s">
        <v>47</v>
      </c>
      <c r="D871" s="38" t="str">
        <f>IFERROR(__xludf.DUMMYFUNCTION("LET(
  words, TRANSPOSE(SPLIT($C871,""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)"),"mo maam langhap sarap")</f>
        <v>mo maam langhap sarap</v>
      </c>
      <c r="E871" s="39" t="str">
        <f>IFERROR(__xludf.DUMMYFUNCTION("INDEX(SPLIT($C871,"" ""), ROW()-ROW($E$849)+1)
"),"langhap")</f>
        <v>langhap</v>
      </c>
      <c r="F871" s="30" t="s">
        <v>16</v>
      </c>
      <c r="G871" s="2"/>
      <c r="H871" s="1" t="s">
        <v>0</v>
      </c>
      <c r="I871" s="2"/>
      <c r="J871" s="2"/>
      <c r="K871" s="1" t="s">
        <v>15</v>
      </c>
    </row>
    <row r="872" ht="15.75" customHeight="1">
      <c r="A872" s="10">
        <v>871.0</v>
      </c>
      <c r="B872" s="10">
        <v>22.0</v>
      </c>
      <c r="C872" s="7" t="s">
        <v>47</v>
      </c>
      <c r="D872" s="40" t="str">
        <f>IFERROR(__xludf.DUMMYFUNCTION("LET(
  words, TRANSPOSE(SPLIT($C872,"" "")),
  n, ROWS(words),
  i, ROW() - ROW($D$849)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)"),"maam langhap sarap")</f>
        <v>maam langhap sarap</v>
      </c>
      <c r="E872" s="41" t="str">
        <f>IFERROR(__xludf.DUMMYFUNCTION("INDEX(SPLIT($C872,"" ""), ROW()-ROW($E$849)+1)
"),"sarap")</f>
        <v>sarap</v>
      </c>
      <c r="F872" s="32" t="s">
        <v>16</v>
      </c>
      <c r="G872" s="6"/>
      <c r="H872" s="10" t="s">
        <v>0</v>
      </c>
      <c r="I872" s="6"/>
      <c r="J872" s="6"/>
      <c r="K872" s="10" t="s">
        <v>15</v>
      </c>
      <c r="L872" s="6"/>
    </row>
    <row r="873" ht="15.75" customHeight="1">
      <c r="A873" s="1">
        <v>872.0</v>
      </c>
      <c r="B873" s="1">
        <v>23.0</v>
      </c>
      <c r="C873" s="4" t="s">
        <v>48</v>
      </c>
      <c r="D873" s="38" t="str">
        <f>IFERROR(__xludf.DUMMYFUNCTION("LET(
  words, TRANSPOSE(SPLIT($C873,""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)"),"gud pm .")</f>
        <v>gud pm .</v>
      </c>
      <c r="E873" s="39" t="str">
        <f>IFERROR(__xludf.DUMMYFUNCTION("INDEX(SPLIT($C873,"" ""), ROW()-ROW($E$873)+1)
"),"gud")</f>
        <v>gud</v>
      </c>
      <c r="F873" s="30" t="s">
        <v>18</v>
      </c>
      <c r="G873" s="1" t="s">
        <v>19</v>
      </c>
      <c r="H873" s="1" t="s">
        <v>0</v>
      </c>
      <c r="I873" s="2"/>
      <c r="J873" s="2"/>
      <c r="K873" s="1" t="s">
        <v>15</v>
      </c>
    </row>
    <row r="874" ht="15.75" customHeight="1">
      <c r="A874" s="1">
        <v>873.0</v>
      </c>
      <c r="B874" s="1">
        <v>23.0</v>
      </c>
      <c r="C874" s="4" t="s">
        <v>48</v>
      </c>
      <c r="D874" s="38" t="str">
        <f>IFERROR(__xludf.DUMMYFUNCTION("LET(
  words, TRANSPOSE(SPLIT($C874,""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)"),"gud pm . na")</f>
        <v>gud pm . na</v>
      </c>
      <c r="E874" s="39" t="str">
        <f>IFERROR(__xludf.DUMMYFUNCTION("INDEX(SPLIT($C874,"" ""), ROW()-ROW($E$873)+1)
"),"pm")</f>
        <v>pm</v>
      </c>
      <c r="F874" s="30" t="s">
        <v>18</v>
      </c>
      <c r="G874" s="1" t="s">
        <v>19</v>
      </c>
      <c r="H874" s="1" t="s">
        <v>0</v>
      </c>
      <c r="I874" s="2"/>
      <c r="J874" s="2"/>
      <c r="K874" s="1" t="s">
        <v>15</v>
      </c>
    </row>
    <row r="875" ht="15.75" customHeight="1">
      <c r="A875" s="1">
        <v>874.0</v>
      </c>
      <c r="B875" s="1">
        <v>23.0</v>
      </c>
      <c r="C875" s="4" t="s">
        <v>48</v>
      </c>
      <c r="D875" s="38" t="str">
        <f>IFERROR(__xludf.DUMMYFUNCTION("LET(
  words, TRANSPOSE(SPLIT($C875,""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)"),"gud pm . na appreciate")</f>
        <v>gud pm . na appreciate</v>
      </c>
      <c r="E875" s="39" t="str">
        <f>IFERROR(__xludf.DUMMYFUNCTION("INDEX(SPLIT($C875,"" ""), ROW()-ROW($E$873)+1)
"),".")</f>
        <v>.</v>
      </c>
      <c r="F875" s="30" t="s">
        <v>17</v>
      </c>
      <c r="G875" s="2"/>
      <c r="H875" s="1" t="s">
        <v>0</v>
      </c>
      <c r="I875" s="2"/>
      <c r="J875" s="2"/>
      <c r="K875" s="1" t="s">
        <v>15</v>
      </c>
    </row>
    <row r="876" ht="15.75" customHeight="1">
      <c r="A876" s="1">
        <v>875.0</v>
      </c>
      <c r="B876" s="1">
        <v>23.0</v>
      </c>
      <c r="C876" s="4" t="s">
        <v>48</v>
      </c>
      <c r="D876" s="38" t="str">
        <f>IFERROR(__xludf.DUMMYFUNCTION("LET(
  words, TRANSPOSE(SPLIT($C876,""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)"),"pm . na appreciate ko")</f>
        <v>pm . na appreciate ko</v>
      </c>
      <c r="E876" s="39" t="str">
        <f>IFERROR(__xludf.DUMMYFUNCTION("INDEX(SPLIT($C876,"" ""), ROW()-ROW($E$873)+1)
"),"na")</f>
        <v>na</v>
      </c>
      <c r="F876" s="30" t="s">
        <v>16</v>
      </c>
      <c r="G876" s="2"/>
      <c r="H876" s="1" t="s">
        <v>0</v>
      </c>
      <c r="I876" s="2"/>
      <c r="J876" s="2"/>
      <c r="K876" s="1" t="s">
        <v>15</v>
      </c>
    </row>
    <row r="877" ht="15.75" customHeight="1">
      <c r="A877" s="1">
        <v>876.0</v>
      </c>
      <c r="B877" s="1">
        <v>23.0</v>
      </c>
      <c r="C877" s="4" t="s">
        <v>48</v>
      </c>
      <c r="D877" s="38" t="str">
        <f>IFERROR(__xludf.DUMMYFUNCTION("LET(
  words, TRANSPOSE(SPLIT($C877,""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na appreciate ko ung")</f>
        <v>. na appreciate ko ung</v>
      </c>
      <c r="E877" s="39" t="str">
        <f>IFERROR(__xludf.DUMMYFUNCTION("INDEX(SPLIT($C877,"" ""), ROW()-ROW($E$873)+1)
"),"appreciate")</f>
        <v>appreciate</v>
      </c>
      <c r="F877" s="30" t="s">
        <v>18</v>
      </c>
      <c r="G877" s="2"/>
      <c r="H877" s="1" t="s">
        <v>0</v>
      </c>
      <c r="I877" s="2"/>
      <c r="J877" s="2"/>
      <c r="K877" s="1" t="s">
        <v>15</v>
      </c>
    </row>
    <row r="878" ht="15.75" customHeight="1">
      <c r="A878" s="1">
        <v>877.0</v>
      </c>
      <c r="B878" s="1">
        <v>23.0</v>
      </c>
      <c r="C878" s="4" t="s">
        <v>48</v>
      </c>
      <c r="D878" s="38" t="str">
        <f>IFERROR(__xludf.DUMMYFUNCTION("LET(
  words, TRANSPOSE(SPLIT($C878,""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appreciate ko ung ginawa")</f>
        <v>na appreciate ko ung ginawa</v>
      </c>
      <c r="E878" s="39" t="str">
        <f>IFERROR(__xludf.DUMMYFUNCTION("INDEX(SPLIT($C878,"" ""), ROW()-ROW($E$873)+1)
"),"ko")</f>
        <v>ko</v>
      </c>
      <c r="F878" s="30" t="s">
        <v>16</v>
      </c>
      <c r="G878" s="2"/>
      <c r="H878" s="1" t="s">
        <v>0</v>
      </c>
      <c r="I878" s="2"/>
      <c r="J878" s="2"/>
      <c r="K878" s="1" t="s">
        <v>15</v>
      </c>
    </row>
    <row r="879" ht="15.75" customHeight="1">
      <c r="A879" s="1">
        <v>878.0</v>
      </c>
      <c r="B879" s="1">
        <v>23.0</v>
      </c>
      <c r="C879" s="4" t="s">
        <v>48</v>
      </c>
      <c r="D879" s="38" t="str">
        <f>IFERROR(__xludf.DUMMYFUNCTION("LET(
  words, TRANSPOSE(SPLIT($C879,""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)"),"appreciate ko ung ginawa nyo")</f>
        <v>appreciate ko ung ginawa nyo</v>
      </c>
      <c r="E879" s="39" t="str">
        <f>IFERROR(__xludf.DUMMYFUNCTION("INDEX(SPLIT($C879,"" ""), ROW()-ROW($E$873)+1)
"),"ung")</f>
        <v>ung</v>
      </c>
      <c r="F879" s="30" t="s">
        <v>16</v>
      </c>
      <c r="G879" s="1" t="s">
        <v>19</v>
      </c>
      <c r="H879" s="1" t="s">
        <v>0</v>
      </c>
      <c r="I879" s="2"/>
      <c r="J879" s="2"/>
      <c r="K879" s="1" t="s">
        <v>15</v>
      </c>
    </row>
    <row r="880" ht="15.75" customHeight="1">
      <c r="A880" s="1">
        <v>879.0</v>
      </c>
      <c r="B880" s="1">
        <v>23.0</v>
      </c>
      <c r="C880" s="4" t="s">
        <v>48</v>
      </c>
      <c r="D880" s="38" t="str">
        <f>IFERROR(__xludf.DUMMYFUNCTION("LET(
  words, TRANSPOSE(SPLIT($C880,""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)"),"ko ung ginawa nyo sa")</f>
        <v>ko ung ginawa nyo sa</v>
      </c>
      <c r="E880" s="39" t="str">
        <f>IFERROR(__xludf.DUMMYFUNCTION("INDEX(SPLIT($C880,"" ""), ROW()-ROW($E$873)+1)
"),"ginawa")</f>
        <v>ginawa</v>
      </c>
      <c r="F880" s="30" t="s">
        <v>16</v>
      </c>
      <c r="G880" s="2"/>
      <c r="H880" s="1" t="s">
        <v>0</v>
      </c>
      <c r="I880" s="2"/>
      <c r="J880" s="2"/>
      <c r="K880" s="1" t="s">
        <v>15</v>
      </c>
    </row>
    <row r="881" ht="15.75" customHeight="1">
      <c r="A881" s="1">
        <v>880.0</v>
      </c>
      <c r="B881" s="1">
        <v>23.0</v>
      </c>
      <c r="C881" s="4" t="s">
        <v>48</v>
      </c>
      <c r="D881" s="38" t="str">
        <f>IFERROR(__xludf.DUMMYFUNCTION("LET(
  words, TRANSPOSE(SPLIT($C881,""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)"),"ung ginawa nyo sa akin")</f>
        <v>ung ginawa nyo sa akin</v>
      </c>
      <c r="E881" s="39" t="str">
        <f>IFERROR(__xludf.DUMMYFUNCTION("INDEX(SPLIT($C881,"" ""), ROW()-ROW($E$873)+1)
"),"nyo")</f>
        <v>nyo</v>
      </c>
      <c r="F881" s="30" t="s">
        <v>16</v>
      </c>
      <c r="G881" s="1" t="s">
        <v>19</v>
      </c>
      <c r="H881" s="1" t="s">
        <v>0</v>
      </c>
      <c r="I881" s="2"/>
      <c r="J881" s="2"/>
      <c r="K881" s="1" t="s">
        <v>15</v>
      </c>
    </row>
    <row r="882" ht="15.75" customHeight="1">
      <c r="A882" s="1">
        <v>881.0</v>
      </c>
      <c r="B882" s="1">
        <v>23.0</v>
      </c>
      <c r="C882" s="4" t="s">
        <v>48</v>
      </c>
      <c r="D882" s="38" t="str">
        <f>IFERROR(__xludf.DUMMYFUNCTION("LET(
  words, TRANSPOSE(SPLIT($C882,""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)"),"ginawa nyo sa akin muna")</f>
        <v>ginawa nyo sa akin muna</v>
      </c>
      <c r="E882" s="39" t="str">
        <f>IFERROR(__xludf.DUMMYFUNCTION("INDEX(SPLIT($C882,"" ""), ROW()-ROW($E$873)+1)
"),"sa")</f>
        <v>sa</v>
      </c>
      <c r="F882" s="30" t="s">
        <v>16</v>
      </c>
      <c r="G882" s="2"/>
      <c r="H882" s="1" t="s">
        <v>0</v>
      </c>
      <c r="I882" s="2"/>
      <c r="J882" s="2"/>
      <c r="K882" s="1" t="s">
        <v>15</v>
      </c>
    </row>
    <row r="883" ht="15.75" customHeight="1">
      <c r="A883" s="1">
        <v>882.0</v>
      </c>
      <c r="B883" s="1">
        <v>23.0</v>
      </c>
      <c r="C883" s="4" t="s">
        <v>48</v>
      </c>
      <c r="D883" s="38" t="str">
        <f>IFERROR(__xludf.DUMMYFUNCTION("LET(
  words, TRANSPOSE(SPLIT($C883,""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)"),"nyo sa akin muna dumaan")</f>
        <v>nyo sa akin muna dumaan</v>
      </c>
      <c r="E883" s="39" t="str">
        <f>IFERROR(__xludf.DUMMYFUNCTION("INDEX(SPLIT($C883,"" ""), ROW()-ROW($E$873)+1)
"),"akin")</f>
        <v>akin</v>
      </c>
      <c r="F883" s="30" t="s">
        <v>16</v>
      </c>
      <c r="G883" s="2"/>
      <c r="H883" s="1" t="s">
        <v>0</v>
      </c>
      <c r="I883" s="2"/>
      <c r="J883" s="2"/>
      <c r="K883" s="1" t="s">
        <v>15</v>
      </c>
    </row>
    <row r="884" ht="15.75" customHeight="1">
      <c r="A884" s="1">
        <v>883.0</v>
      </c>
      <c r="B884" s="1">
        <v>23.0</v>
      </c>
      <c r="C884" s="4" t="s">
        <v>48</v>
      </c>
      <c r="D884" s="38" t="str">
        <f>IFERROR(__xludf.DUMMYFUNCTION("LET(
  words, TRANSPOSE(SPLIT($C884,""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akin muna dumaan .")</f>
        <v>sa akin muna dumaan .</v>
      </c>
      <c r="E884" s="39" t="str">
        <f>IFERROR(__xludf.DUMMYFUNCTION("INDEX(SPLIT($C884,"" ""), ROW()-ROW($E$873)+1)
"),"muna")</f>
        <v>muna</v>
      </c>
      <c r="F884" s="30" t="s">
        <v>16</v>
      </c>
      <c r="G884" s="2"/>
      <c r="H884" s="1" t="s">
        <v>0</v>
      </c>
      <c r="I884" s="2"/>
      <c r="J884" s="2"/>
      <c r="K884" s="1" t="s">
        <v>15</v>
      </c>
    </row>
    <row r="885" ht="15.75" customHeight="1">
      <c r="A885" s="1">
        <v>884.0</v>
      </c>
      <c r="B885" s="1">
        <v>23.0</v>
      </c>
      <c r="C885" s="4" t="s">
        <v>48</v>
      </c>
      <c r="D885" s="38" t="str">
        <f>IFERROR(__xludf.DUMMYFUNCTION("LET(
  words, TRANSPOSE(SPLIT($C885,""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)"),"akin muna dumaan . inakyat")</f>
        <v>akin muna dumaan . inakyat</v>
      </c>
      <c r="E885" s="39" t="str">
        <f>IFERROR(__xludf.DUMMYFUNCTION("INDEX(SPLIT($C885,"" ""), ROW()-ROW($E$873)+1)
"),"dumaan")</f>
        <v>dumaan</v>
      </c>
      <c r="F885" s="30" t="s">
        <v>16</v>
      </c>
      <c r="G885" s="2"/>
      <c r="H885" s="1" t="s">
        <v>0</v>
      </c>
      <c r="I885" s="2"/>
      <c r="J885" s="2"/>
      <c r="K885" s="1" t="s">
        <v>15</v>
      </c>
    </row>
    <row r="886" ht="15.75" customHeight="1">
      <c r="A886" s="1">
        <v>885.0</v>
      </c>
      <c r="B886" s="1">
        <v>23.0</v>
      </c>
      <c r="C886" s="4" t="s">
        <v>48</v>
      </c>
      <c r="D886" s="38" t="str">
        <f>IFERROR(__xludf.DUMMYFUNCTION("LET(
  words, TRANSPOSE(SPLIT($C886,""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)"),"muna dumaan . inakyat ko")</f>
        <v>muna dumaan . inakyat ko</v>
      </c>
      <c r="E886" s="39" t="str">
        <f>IFERROR(__xludf.DUMMYFUNCTION("INDEX(SPLIT($C886,"" ""), ROW()-ROW($E$873)+1)
"),".")</f>
        <v>.</v>
      </c>
      <c r="F886" s="30" t="s">
        <v>17</v>
      </c>
      <c r="G886" s="2"/>
      <c r="H886" s="1" t="s">
        <v>0</v>
      </c>
      <c r="I886" s="2"/>
      <c r="J886" s="2"/>
      <c r="K886" s="1" t="s">
        <v>15</v>
      </c>
    </row>
    <row r="887" ht="15.75" customHeight="1">
      <c r="A887" s="1">
        <v>886.0</v>
      </c>
      <c r="B887" s="1">
        <v>23.0</v>
      </c>
      <c r="C887" s="4" t="s">
        <v>48</v>
      </c>
      <c r="D887" s="38" t="str">
        <f>IFERROR(__xludf.DUMMYFUNCTION("LET(
  words, TRANSPOSE(SPLIT($C887,""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)"),"dumaan . inakyat ko na")</f>
        <v>dumaan . inakyat ko na</v>
      </c>
      <c r="E887" s="39" t="str">
        <f>IFERROR(__xludf.DUMMYFUNCTION("INDEX(SPLIT($C887,"" ""), ROW()-ROW($E$873)+1)
"),"inakyat")</f>
        <v>inakyat</v>
      </c>
      <c r="F887" s="30" t="s">
        <v>16</v>
      </c>
      <c r="G887" s="2"/>
      <c r="H887" s="1" t="s">
        <v>0</v>
      </c>
      <c r="I887" s="2"/>
      <c r="J887" s="2"/>
      <c r="K887" s="1" t="s">
        <v>15</v>
      </c>
    </row>
    <row r="888" ht="15.75" customHeight="1">
      <c r="A888" s="1">
        <v>887.0</v>
      </c>
      <c r="B888" s="1">
        <v>23.0</v>
      </c>
      <c r="C888" s="4" t="s">
        <v>48</v>
      </c>
      <c r="D888" s="38" t="str">
        <f>IFERROR(__xludf.DUMMYFUNCTION("LET(
  words, TRANSPOSE(SPLIT($C888,""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inakyat ko na sa")</f>
        <v>. inakyat ko na sa</v>
      </c>
      <c r="E888" s="39" t="str">
        <f>IFERROR(__xludf.DUMMYFUNCTION("INDEX(SPLIT($C888,"" ""), ROW()-ROW($E$873)+1)
"),"ko")</f>
        <v>ko</v>
      </c>
      <c r="F888" s="30" t="s">
        <v>16</v>
      </c>
      <c r="G888" s="2"/>
      <c r="H888" s="1" t="s">
        <v>0</v>
      </c>
      <c r="I888" s="2"/>
      <c r="J888" s="2"/>
      <c r="K888" s="1" t="s">
        <v>15</v>
      </c>
    </row>
    <row r="889" ht="15.75" customHeight="1">
      <c r="A889" s="1">
        <v>888.0</v>
      </c>
      <c r="B889" s="1">
        <v>23.0</v>
      </c>
      <c r="C889" s="4" t="s">
        <v>48</v>
      </c>
      <c r="D889" s="38" t="str">
        <f>IFERROR(__xludf.DUMMYFUNCTION("LET(
  words, TRANSPOSE(SPLIT($C889,""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)"),"inakyat ko na sa chairman")</f>
        <v>inakyat ko na sa chairman</v>
      </c>
      <c r="E889" s="39" t="str">
        <f>IFERROR(__xludf.DUMMYFUNCTION("INDEX(SPLIT($C889,"" ""), ROW()-ROW($E$873)+1)
"),"na")</f>
        <v>na</v>
      </c>
      <c r="F889" s="30" t="s">
        <v>16</v>
      </c>
      <c r="G889" s="2"/>
      <c r="H889" s="1" t="s">
        <v>0</v>
      </c>
      <c r="I889" s="2"/>
      <c r="J889" s="2"/>
      <c r="K889" s="1" t="s">
        <v>15</v>
      </c>
    </row>
    <row r="890" ht="15.75" customHeight="1">
      <c r="A890" s="1">
        <v>889.0</v>
      </c>
      <c r="B890" s="1">
        <v>23.0</v>
      </c>
      <c r="C890" s="4" t="s">
        <v>48</v>
      </c>
      <c r="D890" s="38" t="str">
        <f>IFERROR(__xludf.DUMMYFUNCTION("LET(
  words, TRANSPOSE(SPLIT($C890,""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)"),"ko na sa chairman .")</f>
        <v>ko na sa chairman .</v>
      </c>
      <c r="E890" s="39" t="str">
        <f>IFERROR(__xludf.DUMMYFUNCTION("INDEX(SPLIT($C890,"" ""), ROW()-ROW($E$873)+1)
"),"sa")</f>
        <v>sa</v>
      </c>
      <c r="F890" s="30" t="s">
        <v>16</v>
      </c>
      <c r="G890" s="2"/>
      <c r="H890" s="1" t="s">
        <v>0</v>
      </c>
      <c r="I890" s="2"/>
      <c r="J890" s="2"/>
      <c r="K890" s="1" t="s">
        <v>15</v>
      </c>
    </row>
    <row r="891" ht="15.75" customHeight="1">
      <c r="A891" s="1">
        <v>890.0</v>
      </c>
      <c r="B891" s="1">
        <v>23.0</v>
      </c>
      <c r="C891" s="4" t="s">
        <v>48</v>
      </c>
      <c r="D891" s="38" t="str">
        <f>IFERROR(__xludf.DUMMYFUNCTION("LET(
  words, TRANSPOSE(SPLIT($C891,""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sa chairman . sila")</f>
        <v>na sa chairman . sila</v>
      </c>
      <c r="E891" s="39" t="str">
        <f>IFERROR(__xludf.DUMMYFUNCTION("INDEX(SPLIT($C891,"" ""), ROW()-ROW($E$873)+1)
"),"chairman")</f>
        <v>chairman</v>
      </c>
      <c r="F891" s="30" t="s">
        <v>18</v>
      </c>
      <c r="G891" s="2"/>
      <c r="H891" s="1" t="s">
        <v>0</v>
      </c>
      <c r="I891" s="2"/>
      <c r="J891" s="2"/>
      <c r="K891" s="1" t="s">
        <v>15</v>
      </c>
    </row>
    <row r="892" ht="15.75" customHeight="1">
      <c r="A892" s="1">
        <v>891.0</v>
      </c>
      <c r="B892" s="1">
        <v>23.0</v>
      </c>
      <c r="C892" s="4" t="s">
        <v>48</v>
      </c>
      <c r="D892" s="38" t="str">
        <f>IFERROR(__xludf.DUMMYFUNCTION("LET(
  words, TRANSPOSE(SPLIT($C892,""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chairman . sila na")</f>
        <v>sa chairman . sila na</v>
      </c>
      <c r="E892" s="39" t="str">
        <f>IFERROR(__xludf.DUMMYFUNCTION("INDEX(SPLIT($C892,"" ""), ROW()-ROW($E$873)+1)
"),".")</f>
        <v>.</v>
      </c>
      <c r="F892" s="30" t="s">
        <v>17</v>
      </c>
      <c r="G892" s="2"/>
      <c r="H892" s="1" t="s">
        <v>0</v>
      </c>
      <c r="I892" s="2"/>
      <c r="J892" s="2"/>
      <c r="K892" s="1" t="s">
        <v>15</v>
      </c>
    </row>
    <row r="893" ht="15.75" customHeight="1">
      <c r="A893" s="1">
        <v>892.0</v>
      </c>
      <c r="B893" s="1">
        <v>23.0</v>
      </c>
      <c r="C893" s="4" t="s">
        <v>48</v>
      </c>
      <c r="D893" s="38" t="str">
        <f>IFERROR(__xludf.DUMMYFUNCTION("LET(
  words, TRANSPOSE(SPLIT($C893,""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)"),"chairman . sila na bahala")</f>
        <v>chairman . sila na bahala</v>
      </c>
      <c r="E893" s="39" t="str">
        <f>IFERROR(__xludf.DUMMYFUNCTION("INDEX(SPLIT($C893,"" ""), ROW()-ROW($E$873)+1)
"),"sila")</f>
        <v>sila</v>
      </c>
      <c r="F893" s="30" t="s">
        <v>16</v>
      </c>
      <c r="G893" s="2"/>
      <c r="H893" s="1" t="s">
        <v>0</v>
      </c>
      <c r="I893" s="2"/>
      <c r="J893" s="2"/>
      <c r="K893" s="1" t="s">
        <v>15</v>
      </c>
    </row>
    <row r="894" ht="15.75" customHeight="1">
      <c r="A894" s="1">
        <v>893.0</v>
      </c>
      <c r="B894" s="1">
        <v>23.0</v>
      </c>
      <c r="C894" s="4" t="s">
        <v>48</v>
      </c>
      <c r="D894" s="38" t="str">
        <f>IFERROR(__xludf.DUMMYFUNCTION("LET(
  words, TRANSPOSE(SPLIT($C894,""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sila na bahala .")</f>
        <v>. sila na bahala .</v>
      </c>
      <c r="E894" s="39" t="str">
        <f>IFERROR(__xludf.DUMMYFUNCTION("INDEX(SPLIT($C894,"" ""), ROW()-ROW($E$873)+1)
"),"na")</f>
        <v>na</v>
      </c>
      <c r="F894" s="30" t="s">
        <v>16</v>
      </c>
      <c r="G894" s="2"/>
      <c r="H894" s="1" t="s">
        <v>0</v>
      </c>
      <c r="I894" s="2"/>
      <c r="J894" s="2"/>
      <c r="K894" s="1" t="s">
        <v>15</v>
      </c>
    </row>
    <row r="895" ht="15.75" customHeight="1">
      <c r="A895" s="1">
        <v>894.0</v>
      </c>
      <c r="B895" s="1">
        <v>23.0</v>
      </c>
      <c r="C895" s="4" t="s">
        <v>48</v>
      </c>
      <c r="D895" s="38" t="str">
        <f>IFERROR(__xludf.DUMMYFUNCTION("LET(
  words, TRANSPOSE(SPLIT($C895,""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)"),"sila na bahala . and2")</f>
        <v>sila na bahala . and2</v>
      </c>
      <c r="E895" s="39" t="str">
        <f>IFERROR(__xludf.DUMMYFUNCTION("INDEX(SPLIT($C895,"" ""), ROW()-ROW($E$873)+1)
"),"bahala")</f>
        <v>bahala</v>
      </c>
      <c r="F895" s="30" t="s">
        <v>16</v>
      </c>
      <c r="G895" s="2"/>
      <c r="H895" s="1" t="s">
        <v>0</v>
      </c>
      <c r="I895" s="2"/>
      <c r="J895" s="2"/>
      <c r="K895" s="1" t="s">
        <v>15</v>
      </c>
    </row>
    <row r="896" ht="15.75" customHeight="1">
      <c r="A896" s="1">
        <v>895.0</v>
      </c>
      <c r="B896" s="1">
        <v>23.0</v>
      </c>
      <c r="C896" s="4" t="s">
        <v>48</v>
      </c>
      <c r="D896" s="38" t="str">
        <f>IFERROR(__xludf.DUMMYFUNCTION("LET(
  words, TRANSPOSE(SPLIT($C896,""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bahala . and2 lang")</f>
        <v>na bahala . and2 lang</v>
      </c>
      <c r="E896" s="39" t="str">
        <f>IFERROR(__xludf.DUMMYFUNCTION("INDEX(SPLIT($C896,"" ""), ROW()-ROW($E$873)+1)
"),".")</f>
        <v>.</v>
      </c>
      <c r="F896" s="30" t="s">
        <v>17</v>
      </c>
      <c r="G896" s="2"/>
      <c r="H896" s="1" t="s">
        <v>0</v>
      </c>
      <c r="I896" s="2"/>
      <c r="J896" s="2"/>
      <c r="K896" s="1" t="s">
        <v>15</v>
      </c>
    </row>
    <row r="897" ht="15.75" customHeight="1">
      <c r="A897" s="1">
        <v>896.0</v>
      </c>
      <c r="B897" s="1">
        <v>23.0</v>
      </c>
      <c r="C897" s="4" t="s">
        <v>48</v>
      </c>
      <c r="D897" s="38" t="str">
        <f>IFERROR(__xludf.DUMMYFUNCTION("LET(
  words, TRANSPOSE(SPLIT($C897,""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)"),"bahala . and2 lang ako")</f>
        <v>bahala . and2 lang ako</v>
      </c>
      <c r="E897" s="39" t="str">
        <f>IFERROR(__xludf.DUMMYFUNCTION("INDEX(SPLIT($C897,"" ""), ROW()-ROW($E$873)+1)
"),"and2")</f>
        <v>and2</v>
      </c>
      <c r="F897" s="30" t="s">
        <v>16</v>
      </c>
      <c r="G897" s="1" t="s">
        <v>19</v>
      </c>
      <c r="H897" s="1" t="s">
        <v>0</v>
      </c>
      <c r="I897" s="2"/>
      <c r="J897" s="2"/>
      <c r="K897" s="1" t="s">
        <v>15</v>
      </c>
    </row>
    <row r="898" ht="15.75" customHeight="1">
      <c r="A898" s="1">
        <v>897.0</v>
      </c>
      <c r="B898" s="1">
        <v>23.0</v>
      </c>
      <c r="C898" s="4" t="s">
        <v>48</v>
      </c>
      <c r="D898" s="38" t="str">
        <f>IFERROR(__xludf.DUMMYFUNCTION("LET(
  words, TRANSPOSE(SPLIT($C898,""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and2 lang ako .")</f>
        <v>. and2 lang ako .</v>
      </c>
      <c r="E898" s="39" t="str">
        <f>IFERROR(__xludf.DUMMYFUNCTION("INDEX(SPLIT($C898,"" ""), ROW()-ROW($E$873)+1)
"),"lang")</f>
        <v>lang</v>
      </c>
      <c r="F898" s="30" t="s">
        <v>16</v>
      </c>
      <c r="G898" s="2"/>
      <c r="H898" s="1" t="s">
        <v>0</v>
      </c>
      <c r="I898" s="2"/>
      <c r="J898" s="2"/>
      <c r="K898" s="1" t="s">
        <v>15</v>
      </c>
    </row>
    <row r="899" ht="15.75" customHeight="1">
      <c r="A899" s="1">
        <v>898.0</v>
      </c>
      <c r="B899" s="1">
        <v>23.0</v>
      </c>
      <c r="C899" s="4" t="s">
        <v>48</v>
      </c>
      <c r="D899" s="38" t="str">
        <f>IFERROR(__xludf.DUMMYFUNCTION("LET(
  words, TRANSPOSE(SPLIT($C899,""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)"),"and2 lang ako . .")</f>
        <v>and2 lang ako . .</v>
      </c>
      <c r="E899" s="39" t="str">
        <f>IFERROR(__xludf.DUMMYFUNCTION("INDEX(SPLIT($C899,"" ""), ROW()-ROW($E$873)+1)
"),"ako")</f>
        <v>ako</v>
      </c>
      <c r="F899" s="30" t="s">
        <v>16</v>
      </c>
      <c r="G899" s="2"/>
      <c r="H899" s="1" t="s">
        <v>0</v>
      </c>
      <c r="I899" s="2"/>
      <c r="J899" s="2"/>
      <c r="K899" s="1" t="s">
        <v>15</v>
      </c>
    </row>
    <row r="900" ht="15.75" customHeight="1">
      <c r="A900" s="1">
        <v>899.0</v>
      </c>
      <c r="B900" s="1">
        <v>23.0</v>
      </c>
      <c r="C900" s="4" t="s">
        <v>48</v>
      </c>
      <c r="D900" s="38" t="str">
        <f>IFERROR(__xludf.DUMMYFUNCTION("LET(
  words, TRANSPOSE(SPLIT($C900,""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)"),"lang ako . . suportahan")</f>
        <v>lang ako . . suportahan</v>
      </c>
      <c r="E900" s="39" t="str">
        <f>IFERROR(__xludf.DUMMYFUNCTION("INDEX(SPLIT($C900,"" ""), ROW()-ROW($E$873)+1)
"),".")</f>
        <v>.</v>
      </c>
      <c r="F900" s="30" t="s">
        <v>17</v>
      </c>
      <c r="G900" s="2"/>
      <c r="H900" s="1" t="s">
        <v>0</v>
      </c>
      <c r="I900" s="2"/>
      <c r="J900" s="2"/>
      <c r="K900" s="1" t="s">
        <v>15</v>
      </c>
    </row>
    <row r="901" ht="15.75" customHeight="1">
      <c r="A901" s="1">
        <v>900.0</v>
      </c>
      <c r="B901" s="1">
        <v>23.0</v>
      </c>
      <c r="C901" s="4" t="s">
        <v>48</v>
      </c>
      <c r="D901" s="38" t="str">
        <f>IFERROR(__xludf.DUMMYFUNCTION("LET(
  words, TRANSPOSE(SPLIT($C901,""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)"),"ako . . suportahan ko")</f>
        <v>ako . . suportahan ko</v>
      </c>
      <c r="E901" s="39" t="str">
        <f>IFERROR(__xludf.DUMMYFUNCTION("INDEX(SPLIT($C901,"" ""), ROW()-ROW($E$873)+1)
"),".")</f>
        <v>.</v>
      </c>
      <c r="F901" s="30" t="s">
        <v>17</v>
      </c>
      <c r="G901" s="2"/>
      <c r="H901" s="1" t="s">
        <v>0</v>
      </c>
      <c r="I901" s="2"/>
      <c r="J901" s="2"/>
      <c r="K901" s="1" t="s">
        <v>15</v>
      </c>
    </row>
    <row r="902" ht="15.75" customHeight="1">
      <c r="A902" s="1">
        <v>901.0</v>
      </c>
      <c r="B902" s="1">
        <v>23.0</v>
      </c>
      <c r="C902" s="4" t="s">
        <v>48</v>
      </c>
      <c r="D902" s="38" t="str">
        <f>IFERROR(__xludf.DUMMYFUNCTION("LET(
  words, TRANSPOSE(SPLIT($C902,""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. suportahan ko kayo")</f>
        <v>. . suportahan ko kayo</v>
      </c>
      <c r="E902" s="39" t="str">
        <f>IFERROR(__xludf.DUMMYFUNCTION("INDEX(SPLIT($C902,"" ""), ROW()-ROW($E$873)+1)
"),"suportahan")</f>
        <v>suportahan</v>
      </c>
      <c r="F902" s="30" t="s">
        <v>16</v>
      </c>
      <c r="G902" s="2"/>
      <c r="H902" s="1" t="s">
        <v>0</v>
      </c>
      <c r="I902" s="2"/>
      <c r="J902" s="2"/>
      <c r="K902" s="1" t="s">
        <v>15</v>
      </c>
    </row>
    <row r="903" ht="15.75" customHeight="1">
      <c r="A903" s="1">
        <v>902.0</v>
      </c>
      <c r="B903" s="1">
        <v>23.0</v>
      </c>
      <c r="C903" s="4" t="s">
        <v>48</v>
      </c>
      <c r="D903" s="38" t="str">
        <f>IFERROR(__xludf.DUMMYFUNCTION("LET(
  words, TRANSPOSE(SPLIT($C903,""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suportahan ko kayo kc")</f>
        <v>. suportahan ko kayo kc</v>
      </c>
      <c r="E903" s="39" t="str">
        <f>IFERROR(__xludf.DUMMYFUNCTION("INDEX(SPLIT($C903,"" ""), ROW()-ROW($E$873)+1)
"),"ko")</f>
        <v>ko</v>
      </c>
      <c r="F903" s="30" t="s">
        <v>16</v>
      </c>
      <c r="G903" s="2"/>
      <c r="H903" s="1" t="s">
        <v>0</v>
      </c>
      <c r="I903" s="2"/>
      <c r="J903" s="2"/>
      <c r="K903" s="1" t="s">
        <v>15</v>
      </c>
    </row>
    <row r="904" ht="15.75" customHeight="1">
      <c r="A904" s="1">
        <v>903.0</v>
      </c>
      <c r="B904" s="1">
        <v>23.0</v>
      </c>
      <c r="C904" s="4" t="s">
        <v>48</v>
      </c>
      <c r="D904" s="38" t="str">
        <f>IFERROR(__xludf.DUMMYFUNCTION("LET(
  words, TRANSPOSE(SPLIT($C904,""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)"),"suportahan ko kayo kc alam")</f>
        <v>suportahan ko kayo kc alam</v>
      </c>
      <c r="E904" s="39" t="str">
        <f>IFERROR(__xludf.DUMMYFUNCTION("INDEX(SPLIT($C904,"" ""), ROW()-ROW($E$873)+1)
"),"kayo")</f>
        <v>kayo</v>
      </c>
      <c r="F904" s="30" t="s">
        <v>16</v>
      </c>
      <c r="G904" s="2"/>
      <c r="H904" s="1" t="s">
        <v>0</v>
      </c>
      <c r="I904" s="2"/>
      <c r="J904" s="2"/>
      <c r="K904" s="1" t="s">
        <v>15</v>
      </c>
    </row>
    <row r="905" ht="15.75" customHeight="1">
      <c r="A905" s="1">
        <v>904.0</v>
      </c>
      <c r="B905" s="1">
        <v>23.0</v>
      </c>
      <c r="C905" s="4" t="s">
        <v>48</v>
      </c>
      <c r="D905" s="38" t="str">
        <f>IFERROR(__xludf.DUMMYFUNCTION("LET(
  words, TRANSPOSE(SPLIT($C905,""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)"),"ko kayo kc alam ko")</f>
        <v>ko kayo kc alam ko</v>
      </c>
      <c r="E905" s="39" t="str">
        <f>IFERROR(__xludf.DUMMYFUNCTION("INDEX(SPLIT($C905,"" ""), ROW()-ROW($E$873)+1)
"),"kc")</f>
        <v>kc</v>
      </c>
      <c r="F905" s="30" t="s">
        <v>16</v>
      </c>
      <c r="G905" s="1" t="s">
        <v>19</v>
      </c>
      <c r="H905" s="1" t="s">
        <v>0</v>
      </c>
      <c r="I905" s="2"/>
      <c r="J905" s="2"/>
      <c r="K905" s="1" t="s">
        <v>15</v>
      </c>
    </row>
    <row r="906" ht="15.75" customHeight="1">
      <c r="A906" s="1">
        <v>905.0</v>
      </c>
      <c r="B906" s="1">
        <v>23.0</v>
      </c>
      <c r="C906" s="4" t="s">
        <v>48</v>
      </c>
      <c r="D906" s="38" t="str">
        <f>IFERROR(__xludf.DUMMYFUNCTION("LET(
  words, TRANSPOSE(SPLIT($C906,""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)"),"kayo kc alam ko may")</f>
        <v>kayo kc alam ko may</v>
      </c>
      <c r="E906" s="39" t="str">
        <f>IFERROR(__xludf.DUMMYFUNCTION("INDEX(SPLIT($C906,"" ""), ROW()-ROW($E$873)+1)
"),"alam")</f>
        <v>alam</v>
      </c>
      <c r="F906" s="30" t="s">
        <v>16</v>
      </c>
      <c r="G906" s="2"/>
      <c r="H906" s="1" t="s">
        <v>0</v>
      </c>
      <c r="I906" s="2"/>
      <c r="J906" s="2"/>
      <c r="K906" s="1" t="s">
        <v>15</v>
      </c>
    </row>
    <row r="907" ht="15.75" customHeight="1">
      <c r="A907" s="1">
        <v>906.0</v>
      </c>
      <c r="B907" s="1">
        <v>23.0</v>
      </c>
      <c r="C907" s="4" t="s">
        <v>48</v>
      </c>
      <c r="D907" s="38" t="str">
        <f>IFERROR(__xludf.DUMMYFUNCTION("LET(
  words, TRANSPOSE(SPLIT($C907,""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)"),"kc alam ko may basis")</f>
        <v>kc alam ko may basis</v>
      </c>
      <c r="E907" s="39" t="str">
        <f>IFERROR(__xludf.DUMMYFUNCTION("INDEX(SPLIT($C907,"" ""), ROW()-ROW($E$873)+1)
"),"ko")</f>
        <v>ko</v>
      </c>
      <c r="F907" s="30" t="s">
        <v>16</v>
      </c>
      <c r="G907" s="2"/>
      <c r="H907" s="1" t="s">
        <v>0</v>
      </c>
      <c r="I907" s="2"/>
      <c r="J907" s="2"/>
      <c r="K907" s="1" t="s">
        <v>15</v>
      </c>
    </row>
    <row r="908" ht="15.75" customHeight="1">
      <c r="A908" s="1">
        <v>907.0</v>
      </c>
      <c r="B908" s="1">
        <v>23.0</v>
      </c>
      <c r="C908" s="4" t="s">
        <v>48</v>
      </c>
      <c r="D908" s="38" t="str">
        <f>IFERROR(__xludf.DUMMYFUNCTION("LET(
  words, TRANSPOSE(SPLIT($C908,""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)"),"alam ko may basis naman")</f>
        <v>alam ko may basis naman</v>
      </c>
      <c r="E908" s="39" t="str">
        <f>IFERROR(__xludf.DUMMYFUNCTION("INDEX(SPLIT($C908,"" ""), ROW()-ROW($E$873)+1)
"),"may")</f>
        <v>may</v>
      </c>
      <c r="F908" s="30" t="s">
        <v>16</v>
      </c>
      <c r="G908" s="2"/>
      <c r="H908" s="1" t="s">
        <v>0</v>
      </c>
      <c r="I908" s="2"/>
      <c r="J908" s="2"/>
      <c r="K908" s="1" t="s">
        <v>15</v>
      </c>
    </row>
    <row r="909" ht="15.75" customHeight="1">
      <c r="A909" s="1">
        <v>908.0</v>
      </c>
      <c r="B909" s="1">
        <v>23.0</v>
      </c>
      <c r="C909" s="4" t="s">
        <v>48</v>
      </c>
      <c r="D909" s="38" t="str">
        <f>IFERROR(__xludf.DUMMYFUNCTION("LET(
  words, TRANSPOSE(SPLIT($C909,""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)"),"ko may basis naman ,")</f>
        <v>ko may basis naman ,</v>
      </c>
      <c r="E909" s="39" t="str">
        <f>IFERROR(__xludf.DUMMYFUNCTION("INDEX(SPLIT($C909,"" ""), ROW()-ROW($E$873)+1)
"),"basis")</f>
        <v>basis</v>
      </c>
      <c r="F909" s="30" t="s">
        <v>18</v>
      </c>
      <c r="G909" s="2"/>
      <c r="H909" s="1" t="s">
        <v>0</v>
      </c>
      <c r="I909" s="2"/>
      <c r="J909" s="2"/>
      <c r="K909" s="1" t="s">
        <v>15</v>
      </c>
    </row>
    <row r="910" ht="15.75" customHeight="1">
      <c r="A910" s="1">
        <v>909.0</v>
      </c>
      <c r="B910" s="1">
        <v>23.0</v>
      </c>
      <c r="C910" s="4" t="s">
        <v>48</v>
      </c>
      <c r="D910" s="38" t="str">
        <f>IFERROR(__xludf.DUMMYFUNCTION("LET(
  words, TRANSPOSE(SPLIT($C910,""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)"),"may basis naman , pero")</f>
        <v>may basis naman , pero</v>
      </c>
      <c r="E910" s="39" t="str">
        <f>IFERROR(__xludf.DUMMYFUNCTION("INDEX(SPLIT($C910,"" ""), ROW()-ROW($E$873)+1)
"),"naman")</f>
        <v>naman</v>
      </c>
      <c r="F910" s="30" t="s">
        <v>16</v>
      </c>
      <c r="G910" s="2"/>
      <c r="H910" s="1" t="s">
        <v>0</v>
      </c>
      <c r="I910" s="2"/>
      <c r="J910" s="2"/>
      <c r="K910" s="1" t="s">
        <v>15</v>
      </c>
    </row>
    <row r="911" ht="15.75" customHeight="1">
      <c r="A911" s="1">
        <v>910.0</v>
      </c>
      <c r="B911" s="1">
        <v>23.0</v>
      </c>
      <c r="C911" s="4" t="s">
        <v>48</v>
      </c>
      <c r="D911" s="38" t="str">
        <f>IFERROR(__xludf.DUMMYFUNCTION("LET(
  words, TRANSPOSE(SPLIT($C911,""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)"),"basis naman , pero sana")</f>
        <v>basis naman , pero sana</v>
      </c>
      <c r="E911" s="39" t="str">
        <f>IFERROR(__xludf.DUMMYFUNCTION("INDEX(SPLIT($C911,"" ""), ROW()-ROW($E$873)+1)
"),",")</f>
        <v>,</v>
      </c>
      <c r="F911" s="30" t="s">
        <v>17</v>
      </c>
      <c r="G911" s="2"/>
      <c r="H911" s="1" t="s">
        <v>0</v>
      </c>
      <c r="I911" s="2"/>
      <c r="J911" s="2"/>
      <c r="K911" s="1" t="s">
        <v>15</v>
      </c>
    </row>
    <row r="912" ht="15.75" customHeight="1">
      <c r="A912" s="1">
        <v>911.0</v>
      </c>
      <c r="B912" s="1">
        <v>23.0</v>
      </c>
      <c r="C912" s="4" t="s">
        <v>48</v>
      </c>
      <c r="D912" s="38" t="str">
        <f>IFERROR(__xludf.DUMMYFUNCTION("LET(
  words, TRANSPOSE(SPLIT($C912,""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)"),"naman , pero sana habang")</f>
        <v>naman , pero sana habang</v>
      </c>
      <c r="E912" s="39" t="str">
        <f>IFERROR(__xludf.DUMMYFUNCTION("INDEX(SPLIT($C912,"" ""), ROW()-ROW($E$873)+1)
"),"pero")</f>
        <v>pero</v>
      </c>
      <c r="F912" s="30" t="s">
        <v>16</v>
      </c>
      <c r="G912" s="2"/>
      <c r="H912" s="1" t="s">
        <v>0</v>
      </c>
      <c r="I912" s="2"/>
      <c r="J912" s="2"/>
      <c r="K912" s="1" t="s">
        <v>15</v>
      </c>
    </row>
    <row r="913" ht="15.75" customHeight="1">
      <c r="A913" s="1">
        <v>912.0</v>
      </c>
      <c r="B913" s="1">
        <v>23.0</v>
      </c>
      <c r="C913" s="4" t="s">
        <v>48</v>
      </c>
      <c r="D913" s="38" t="str">
        <f>IFERROR(__xludf.DUMMYFUNCTION("LET(
  words, TRANSPOSE(SPLIT($C913,""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pero sana habang gumagawa")</f>
        <v>, pero sana habang gumagawa</v>
      </c>
      <c r="E913" s="39" t="str">
        <f>IFERROR(__xludf.DUMMYFUNCTION("INDEX(SPLIT($C913,"" ""), ROW()-ROW($E$873)+1)
"),"sana")</f>
        <v>sana</v>
      </c>
      <c r="F913" s="30" t="s">
        <v>16</v>
      </c>
      <c r="G913" s="2"/>
      <c r="H913" s="1" t="s">
        <v>0</v>
      </c>
      <c r="I913" s="2"/>
      <c r="J913" s="2"/>
      <c r="K913" s="1" t="s">
        <v>15</v>
      </c>
    </row>
    <row r="914" ht="15.75" customHeight="1">
      <c r="A914" s="1">
        <v>913.0</v>
      </c>
      <c r="B914" s="1">
        <v>23.0</v>
      </c>
      <c r="C914" s="4" t="s">
        <v>48</v>
      </c>
      <c r="D914" s="38" t="str">
        <f>IFERROR(__xludf.DUMMYFUNCTION("LET(
  words, TRANSPOSE(SPLIT($C914,""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)"),"pero sana habang gumagawa kami")</f>
        <v>pero sana habang gumagawa kami</v>
      </c>
      <c r="E914" s="39" t="str">
        <f>IFERROR(__xludf.DUMMYFUNCTION("INDEX(SPLIT($C914,"" ""), ROW()-ROW($E$873)+1)
"),"habang")</f>
        <v>habang</v>
      </c>
      <c r="F914" s="30" t="s">
        <v>16</v>
      </c>
      <c r="G914" s="2"/>
      <c r="H914" s="1" t="s">
        <v>0</v>
      </c>
      <c r="I914" s="2"/>
      <c r="J914" s="2"/>
      <c r="K914" s="1" t="s">
        <v>15</v>
      </c>
    </row>
    <row r="915" ht="15.75" customHeight="1">
      <c r="A915" s="1">
        <v>914.0</v>
      </c>
      <c r="B915" s="1">
        <v>23.0</v>
      </c>
      <c r="C915" s="4" t="s">
        <v>48</v>
      </c>
      <c r="D915" s="38" t="str">
        <f>IFERROR(__xludf.DUMMYFUNCTION("LET(
  words, TRANSPOSE(SPLIT($C915,""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)"),"sana habang gumagawa kami ng")</f>
        <v>sana habang gumagawa kami ng</v>
      </c>
      <c r="E915" s="39" t="str">
        <f>IFERROR(__xludf.DUMMYFUNCTION("INDEX(SPLIT($C915,"" ""), ROW()-ROW($E$873)+1)
"),"gumagawa")</f>
        <v>gumagawa</v>
      </c>
      <c r="F915" s="30" t="s">
        <v>16</v>
      </c>
      <c r="G915" s="2"/>
      <c r="H915" s="1" t="s">
        <v>0</v>
      </c>
      <c r="I915" s="2"/>
      <c r="J915" s="2"/>
      <c r="K915" s="1" t="s">
        <v>15</v>
      </c>
    </row>
    <row r="916" ht="15.75" customHeight="1">
      <c r="A916" s="1">
        <v>915.0</v>
      </c>
      <c r="B916" s="1">
        <v>23.0</v>
      </c>
      <c r="C916" s="4" t="s">
        <v>48</v>
      </c>
      <c r="D916" s="38" t="str">
        <f>IFERROR(__xludf.DUMMYFUNCTION("LET(
  words, TRANSPOSE(SPLIT($C916,""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)"),"habang gumagawa kami ng way")</f>
        <v>habang gumagawa kami ng way</v>
      </c>
      <c r="E916" s="39" t="str">
        <f>IFERROR(__xludf.DUMMYFUNCTION("INDEX(SPLIT($C916,"" ""), ROW()-ROW($E$873)+1)
"),"kami")</f>
        <v>kami</v>
      </c>
      <c r="F916" s="30" t="s">
        <v>16</v>
      </c>
      <c r="G916" s="2"/>
      <c r="H916" s="1" t="s">
        <v>0</v>
      </c>
      <c r="I916" s="2"/>
      <c r="J916" s="2"/>
      <c r="K916" s="1" t="s">
        <v>15</v>
      </c>
    </row>
    <row r="917" ht="15.75" customHeight="1">
      <c r="A917" s="1">
        <v>916.0</v>
      </c>
      <c r="B917" s="1">
        <v>23.0</v>
      </c>
      <c r="C917" s="4" t="s">
        <v>48</v>
      </c>
      <c r="D917" s="38" t="str">
        <f>IFERROR(__xludf.DUMMYFUNCTION("LET(
  words, TRANSPOSE(SPLIT($C917,""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)"),"gumagawa kami ng way ,")</f>
        <v>gumagawa kami ng way ,</v>
      </c>
      <c r="E917" s="39" t="str">
        <f>IFERROR(__xludf.DUMMYFUNCTION("INDEX(SPLIT($C917,"" ""), ROW()-ROW($E$873)+1)
"),"ng")</f>
        <v>ng</v>
      </c>
      <c r="F917" s="30" t="s">
        <v>16</v>
      </c>
      <c r="G917" s="2"/>
      <c r="H917" s="1" t="s">
        <v>0</v>
      </c>
      <c r="I917" s="2"/>
      <c r="J917" s="2"/>
      <c r="K917" s="1" t="s">
        <v>15</v>
      </c>
    </row>
    <row r="918" ht="15.75" customHeight="1">
      <c r="A918" s="1">
        <v>917.0</v>
      </c>
      <c r="B918" s="1">
        <v>23.0</v>
      </c>
      <c r="C918" s="4" t="s">
        <v>48</v>
      </c>
      <c r="D918" s="38" t="str">
        <f>IFERROR(__xludf.DUMMYFUNCTION("LET(
  words, TRANSPOSE(SPLIT($C918,""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)"),"kami ng way , kung")</f>
        <v>kami ng way , kung</v>
      </c>
      <c r="E918" s="39" t="str">
        <f>IFERROR(__xludf.DUMMYFUNCTION("INDEX(SPLIT($C918,"" ""), ROW()-ROW($E$873)+1)
"),"way")</f>
        <v>way</v>
      </c>
      <c r="F918" s="30" t="s">
        <v>18</v>
      </c>
      <c r="G918" s="2"/>
      <c r="H918" s="1" t="s">
        <v>0</v>
      </c>
      <c r="I918" s="2"/>
      <c r="J918" s="2"/>
      <c r="K918" s="1" t="s">
        <v>15</v>
      </c>
    </row>
    <row r="919" ht="15.75" customHeight="1">
      <c r="A919" s="1">
        <v>918.0</v>
      </c>
      <c r="B919" s="1">
        <v>23.0</v>
      </c>
      <c r="C919" s="4" t="s">
        <v>48</v>
      </c>
      <c r="D919" s="38" t="str">
        <f>IFERROR(__xludf.DUMMYFUNCTION("LET(
  words, TRANSPOSE(SPLIT($C919,""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)"),"ng way , kung kaya")</f>
        <v>ng way , kung kaya</v>
      </c>
      <c r="E919" s="39" t="str">
        <f>IFERROR(__xludf.DUMMYFUNCTION("INDEX(SPLIT($C919,"" ""), ROW()-ROW($E$873)+1)
"),",")</f>
        <v>,</v>
      </c>
      <c r="F919" s="30" t="s">
        <v>17</v>
      </c>
      <c r="G919" s="2"/>
      <c r="H919" s="1" t="s">
        <v>0</v>
      </c>
      <c r="I919" s="2"/>
      <c r="J919" s="2"/>
      <c r="K919" s="1" t="s">
        <v>15</v>
      </c>
    </row>
    <row r="920" ht="15.75" customHeight="1">
      <c r="A920" s="1">
        <v>919.0</v>
      </c>
      <c r="B920" s="1">
        <v>23.0</v>
      </c>
      <c r="C920" s="4" t="s">
        <v>48</v>
      </c>
      <c r="D920" s="38" t="str">
        <f>IFERROR(__xludf.DUMMYFUNCTION("LET(
  words, TRANSPOSE(SPLIT($C920,""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)"),"way , kung kaya iwasan")</f>
        <v>way , kung kaya iwasan</v>
      </c>
      <c r="E920" s="39" t="str">
        <f>IFERROR(__xludf.DUMMYFUNCTION("INDEX(SPLIT($C920,"" ""), ROW()-ROW($E$873)+1)
"),"kung")</f>
        <v>kung</v>
      </c>
      <c r="F920" s="30" t="s">
        <v>16</v>
      </c>
      <c r="G920" s="2"/>
      <c r="H920" s="1" t="s">
        <v>0</v>
      </c>
      <c r="I920" s="2"/>
      <c r="J920" s="2"/>
      <c r="K920" s="1" t="s">
        <v>15</v>
      </c>
    </row>
    <row r="921" ht="15.75" customHeight="1">
      <c r="A921" s="1">
        <v>920.0</v>
      </c>
      <c r="B921" s="1">
        <v>23.0</v>
      </c>
      <c r="C921" s="4" t="s">
        <v>48</v>
      </c>
      <c r="D921" s="38" t="str">
        <f>IFERROR(__xludf.DUMMYFUNCTION("LET(
  words, TRANSPOSE(SPLIT($C921,""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kung kaya iwasan .")</f>
        <v>, kung kaya iwasan .</v>
      </c>
      <c r="E921" s="39" t="str">
        <f>IFERROR(__xludf.DUMMYFUNCTION("INDEX(SPLIT($C921,"" ""), ROW()-ROW($E$873)+1)
"),"kaya")</f>
        <v>kaya</v>
      </c>
      <c r="F921" s="30" t="s">
        <v>16</v>
      </c>
      <c r="G921" s="2"/>
      <c r="H921" s="1" t="s">
        <v>0</v>
      </c>
      <c r="I921" s="2"/>
      <c r="J921" s="2"/>
      <c r="K921" s="1" t="s">
        <v>15</v>
      </c>
    </row>
    <row r="922" ht="15.75" customHeight="1">
      <c r="A922" s="1">
        <v>921.0</v>
      </c>
      <c r="B922" s="1">
        <v>23.0</v>
      </c>
      <c r="C922" s="4" t="s">
        <v>48</v>
      </c>
      <c r="D922" s="38" t="str">
        <f>IFERROR(__xludf.DUMMYFUNCTION("LET(
  words, TRANSPOSE(SPLIT($C922,""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)"),"kung kaya iwasan . .")</f>
        <v>kung kaya iwasan . .</v>
      </c>
      <c r="E922" s="39" t="str">
        <f>IFERROR(__xludf.DUMMYFUNCTION("INDEX(SPLIT($C922,"" ""), ROW()-ROW($E$873)+1)
"),"iwasan")</f>
        <v>iwasan</v>
      </c>
      <c r="F922" s="30" t="s">
        <v>16</v>
      </c>
      <c r="G922" s="2"/>
      <c r="H922" s="1" t="s">
        <v>0</v>
      </c>
      <c r="I922" s="2"/>
      <c r="J922" s="2"/>
      <c r="K922" s="1" t="s">
        <v>15</v>
      </c>
    </row>
    <row r="923" ht="15.75" customHeight="1">
      <c r="A923" s="1">
        <v>922.0</v>
      </c>
      <c r="B923" s="1">
        <v>23.0</v>
      </c>
      <c r="C923" s="4" t="s">
        <v>48</v>
      </c>
      <c r="D923" s="38" t="str">
        <f>IFERROR(__xludf.DUMMYFUNCTION("LET(
  words, TRANSPOSE(SPLIT($C923,""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)"),"kaya iwasan . . please")</f>
        <v>kaya iwasan . . please</v>
      </c>
      <c r="E923" s="39" t="str">
        <f>IFERROR(__xludf.DUMMYFUNCTION("INDEX(SPLIT($C923,"" ""), ROW()-ROW($E$873)+1)
"),".")</f>
        <v>.</v>
      </c>
      <c r="F923" s="30" t="s">
        <v>17</v>
      </c>
      <c r="G923" s="2"/>
      <c r="H923" s="1" t="s">
        <v>0</v>
      </c>
      <c r="I923" s="2"/>
      <c r="J923" s="2"/>
      <c r="K923" s="1" t="s">
        <v>15</v>
      </c>
    </row>
    <row r="924" ht="15.75" customHeight="1">
      <c r="A924" s="1">
        <v>923.0</v>
      </c>
      <c r="B924" s="1">
        <v>23.0</v>
      </c>
      <c r="C924" s="4" t="s">
        <v>48</v>
      </c>
      <c r="D924" s="38" t="str">
        <f>IFERROR(__xludf.DUMMYFUNCTION("LET(
  words, TRANSPOSE(SPLIT($C924,""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)"),"iwasan . . please .")</f>
        <v>iwasan . . please .</v>
      </c>
      <c r="E924" s="39" t="str">
        <f>IFERROR(__xludf.DUMMYFUNCTION("INDEX(SPLIT($C924,"" ""), ROW()-ROW($E$873)+1)
"),".")</f>
        <v>.</v>
      </c>
      <c r="F924" s="30" t="s">
        <v>17</v>
      </c>
      <c r="G924" s="2"/>
      <c r="H924" s="1" t="s">
        <v>0</v>
      </c>
      <c r="I924" s="2"/>
      <c r="J924" s="2"/>
      <c r="K924" s="1" t="s">
        <v>15</v>
      </c>
    </row>
    <row r="925" ht="15.75" customHeight="1">
      <c r="A925" s="1">
        <v>924.0</v>
      </c>
      <c r="B925" s="1">
        <v>23.0</v>
      </c>
      <c r="C925" s="4" t="s">
        <v>48</v>
      </c>
      <c r="D925" s="38" t="str">
        <f>IFERROR(__xludf.DUMMYFUNCTION("LET(
  words, TRANSPOSE(SPLIT($C925,""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. please . .")</f>
        <v>. . please . .</v>
      </c>
      <c r="E925" s="39" t="str">
        <f>IFERROR(__xludf.DUMMYFUNCTION("INDEX(SPLIT($C925,"" ""), ROW()-ROW($E$873)+1)
"),"please")</f>
        <v>please</v>
      </c>
      <c r="F925" s="30" t="s">
        <v>18</v>
      </c>
      <c r="G925" s="2"/>
      <c r="H925" s="1" t="s">
        <v>0</v>
      </c>
      <c r="I925" s="2"/>
      <c r="J925" s="2"/>
      <c r="K925" s="1" t="s">
        <v>15</v>
      </c>
    </row>
    <row r="926" ht="15.75" customHeight="1">
      <c r="A926" s="1">
        <v>925.0</v>
      </c>
      <c r="B926" s="1">
        <v>23.0</v>
      </c>
      <c r="C926" s="4" t="s">
        <v>48</v>
      </c>
      <c r="D926" s="38" t="str">
        <f>IFERROR(__xludf.DUMMYFUNCTION("LET(
  words, TRANSPOSE(SPLIT($C926,""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please . . .")</f>
        <v>. please . . .</v>
      </c>
      <c r="E926" s="39" t="str">
        <f>IFERROR(__xludf.DUMMYFUNCTION("INDEX(SPLIT($C926,"" ""), ROW()-ROW($E$873)+1)
"),".")</f>
        <v>.</v>
      </c>
      <c r="F926" s="30" t="s">
        <v>17</v>
      </c>
      <c r="G926" s="2"/>
      <c r="H926" s="1" t="s">
        <v>0</v>
      </c>
      <c r="I926" s="2"/>
      <c r="J926" s="2"/>
      <c r="K926" s="1" t="s">
        <v>15</v>
      </c>
    </row>
    <row r="927" ht="15.75" customHeight="1">
      <c r="A927" s="1">
        <v>926.0</v>
      </c>
      <c r="B927" s="1">
        <v>23.0</v>
      </c>
      <c r="C927" s="4" t="s">
        <v>48</v>
      </c>
      <c r="D927" s="38" t="str">
        <f>IFERROR(__xludf.DUMMYFUNCTION("LET(
  words, TRANSPOSE(SPLIT($C927,""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)"),"please . . . avoid")</f>
        <v>please . . . avoid</v>
      </c>
      <c r="E927" s="39" t="str">
        <f>IFERROR(__xludf.DUMMYFUNCTION("INDEX(SPLIT($C927,"" ""), ROW()-ROW($E$873)+1)
"),".")</f>
        <v>.</v>
      </c>
      <c r="F927" s="30" t="s">
        <v>17</v>
      </c>
      <c r="G927" s="2"/>
      <c r="H927" s="1" t="s">
        <v>0</v>
      </c>
      <c r="I927" s="2"/>
      <c r="J927" s="2"/>
      <c r="K927" s="1" t="s">
        <v>15</v>
      </c>
    </row>
    <row r="928" ht="15.75" customHeight="1">
      <c r="A928" s="1">
        <v>927.0</v>
      </c>
      <c r="B928" s="1">
        <v>23.0</v>
      </c>
      <c r="C928" s="4" t="s">
        <v>48</v>
      </c>
      <c r="D928" s="38" t="str">
        <f>IFERROR(__xludf.DUMMYFUNCTION("LET(
  words, TRANSPOSE(SPLIT($C928,""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. . avoid posting")</f>
        <v>. . . avoid posting</v>
      </c>
      <c r="E928" s="39" t="str">
        <f>IFERROR(__xludf.DUMMYFUNCTION("INDEX(SPLIT($C928,"" ""), ROW()-ROW($E$873)+1)
"),".")</f>
        <v>.</v>
      </c>
      <c r="F928" s="30" t="s">
        <v>17</v>
      </c>
      <c r="G928" s="2"/>
      <c r="H928" s="1" t="s">
        <v>0</v>
      </c>
      <c r="I928" s="2"/>
      <c r="J928" s="2"/>
      <c r="K928" s="1" t="s">
        <v>15</v>
      </c>
    </row>
    <row r="929" ht="15.75" customHeight="1">
      <c r="A929" s="1">
        <v>928.0</v>
      </c>
      <c r="B929" s="1">
        <v>23.0</v>
      </c>
      <c r="C929" s="4" t="s">
        <v>48</v>
      </c>
      <c r="D929" s="38" t="str">
        <f>IFERROR(__xludf.DUMMYFUNCTION("LET(
  words, TRANSPOSE(SPLIT($C929,""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. avoid posting anything")</f>
        <v>. . avoid posting anything</v>
      </c>
      <c r="E929" s="39" t="str">
        <f>IFERROR(__xludf.DUMMYFUNCTION("INDEX(SPLIT($C929,"" ""), ROW()-ROW($E$873)+1)
"),"avoid")</f>
        <v>avoid</v>
      </c>
      <c r="F929" s="30" t="s">
        <v>18</v>
      </c>
      <c r="G929" s="2"/>
      <c r="H929" s="1" t="s">
        <v>0</v>
      </c>
      <c r="I929" s="2"/>
      <c r="J929" s="2"/>
      <c r="K929" s="1" t="s">
        <v>15</v>
      </c>
    </row>
    <row r="930" ht="15.75" customHeight="1">
      <c r="A930" s="1">
        <v>929.0</v>
      </c>
      <c r="B930" s="1">
        <v>23.0</v>
      </c>
      <c r="C930" s="4" t="s">
        <v>48</v>
      </c>
      <c r="D930" s="38" t="str">
        <f>IFERROR(__xludf.DUMMYFUNCTION("LET(
  words, TRANSPOSE(SPLIT($C930,""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)"),". avoid posting anything against")</f>
        <v>. avoid posting anything against</v>
      </c>
      <c r="E930" s="39" t="str">
        <f>IFERROR(__xludf.DUMMYFUNCTION("INDEX(SPLIT($C930,"" ""), ROW()-ROW($E$873)+1)
"),"posting")</f>
        <v>posting</v>
      </c>
      <c r="F930" s="30" t="s">
        <v>18</v>
      </c>
      <c r="G930" s="2"/>
      <c r="H930" s="1" t="s">
        <v>0</v>
      </c>
      <c r="I930" s="2"/>
      <c r="J930" s="2"/>
      <c r="K930" s="1" t="s">
        <v>15</v>
      </c>
    </row>
    <row r="931" ht="15.75" customHeight="1">
      <c r="A931" s="1">
        <v>930.0</v>
      </c>
      <c r="B931" s="1">
        <v>23.0</v>
      </c>
      <c r="C931" s="4" t="s">
        <v>48</v>
      </c>
      <c r="D931" s="38" t="str">
        <f>IFERROR(__xludf.DUMMYFUNCTION("LET(
  words, TRANSPOSE(SPLIT($C931,""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)"),"avoid posting anything against someone")</f>
        <v>avoid posting anything against someone</v>
      </c>
      <c r="E931" s="39" t="str">
        <f>IFERROR(__xludf.DUMMYFUNCTION("INDEX(SPLIT($C931,"" ""), ROW()-ROW($E$873)+1)
"),"anything")</f>
        <v>anything</v>
      </c>
      <c r="F931" s="30" t="s">
        <v>18</v>
      </c>
      <c r="G931" s="2"/>
      <c r="H931" s="1" t="s">
        <v>0</v>
      </c>
      <c r="I931" s="2"/>
      <c r="J931" s="2"/>
      <c r="K931" s="1" t="s">
        <v>15</v>
      </c>
    </row>
    <row r="932" ht="15.75" customHeight="1">
      <c r="A932" s="1">
        <v>931.0</v>
      </c>
      <c r="B932" s="1">
        <v>23.0</v>
      </c>
      <c r="C932" s="4" t="s">
        <v>48</v>
      </c>
      <c r="D932" s="38" t="str">
        <f>IFERROR(__xludf.DUMMYFUNCTION("LET(
  words, TRANSPOSE(SPLIT($C932,""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)"),"posting anything against someone ,")</f>
        <v>posting anything against someone ,</v>
      </c>
      <c r="E932" s="39" t="str">
        <f>IFERROR(__xludf.DUMMYFUNCTION("INDEX(SPLIT($C932,"" ""), ROW()-ROW($E$873)+1)
"),"against")</f>
        <v>against</v>
      </c>
      <c r="F932" s="30" t="s">
        <v>18</v>
      </c>
      <c r="G932" s="2"/>
      <c r="H932" s="1" t="s">
        <v>0</v>
      </c>
      <c r="I932" s="2"/>
      <c r="J932" s="2"/>
      <c r="K932" s="1" t="s">
        <v>15</v>
      </c>
    </row>
    <row r="933" ht="15.75" customHeight="1">
      <c r="A933" s="1">
        <v>932.0</v>
      </c>
      <c r="B933" s="1">
        <v>23.0</v>
      </c>
      <c r="C933" s="4" t="s">
        <v>48</v>
      </c>
      <c r="D933" s="38" t="str">
        <f>IFERROR(__xludf.DUMMYFUNCTION("LET(
  words, TRANSPOSE(SPLIT($C933,""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)"),"anything against someone , plagi")</f>
        <v>anything against someone , plagi</v>
      </c>
      <c r="E933" s="39" t="str">
        <f>IFERROR(__xludf.DUMMYFUNCTION("INDEX(SPLIT($C933,"" ""), ROW()-ROW($E$873)+1)
"),"someone")</f>
        <v>someone</v>
      </c>
      <c r="F933" s="30" t="s">
        <v>18</v>
      </c>
      <c r="G933" s="2"/>
      <c r="H933" s="1" t="s">
        <v>0</v>
      </c>
      <c r="I933" s="2"/>
      <c r="J933" s="2"/>
      <c r="K933" s="1" t="s">
        <v>15</v>
      </c>
    </row>
    <row r="934" ht="15.75" customHeight="1">
      <c r="A934" s="1">
        <v>933.0</v>
      </c>
      <c r="B934" s="1">
        <v>23.0</v>
      </c>
      <c r="C934" s="4" t="s">
        <v>48</v>
      </c>
      <c r="D934" s="38" t="str">
        <f>IFERROR(__xludf.DUMMYFUNCTION("LET(
  words, TRANSPOSE(SPLIT($C934,""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)"),"against someone , plagi kong")</f>
        <v>against someone , plagi kong</v>
      </c>
      <c r="E934" s="39" t="str">
        <f>IFERROR(__xludf.DUMMYFUNCTION("INDEX(SPLIT($C934,"" ""), ROW()-ROW($E$873)+1)
"),",")</f>
        <v>,</v>
      </c>
      <c r="F934" s="30" t="s">
        <v>17</v>
      </c>
      <c r="G934" s="2"/>
      <c r="H934" s="1" t="s">
        <v>0</v>
      </c>
      <c r="I934" s="2"/>
      <c r="J934" s="2"/>
      <c r="K934" s="1" t="s">
        <v>15</v>
      </c>
    </row>
    <row r="935" ht="15.75" customHeight="1">
      <c r="A935" s="1">
        <v>934.0</v>
      </c>
      <c r="B935" s="1">
        <v>23.0</v>
      </c>
      <c r="C935" s="4" t="s">
        <v>48</v>
      </c>
      <c r="D935" s="38" t="str">
        <f>IFERROR(__xludf.DUMMYFUNCTION("LET(
  words, TRANSPOSE(SPLIT($C935,""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)"),"someone , plagi kong bilin")</f>
        <v>someone , plagi kong bilin</v>
      </c>
      <c r="E935" s="39" t="str">
        <f>IFERROR(__xludf.DUMMYFUNCTION("INDEX(SPLIT($C935,"" ""), ROW()-ROW($E$873)+1)
"),"plagi")</f>
        <v>plagi</v>
      </c>
      <c r="F935" s="30" t="s">
        <v>16</v>
      </c>
      <c r="G935" s="1" t="s">
        <v>19</v>
      </c>
      <c r="H935" s="1" t="s">
        <v>0</v>
      </c>
      <c r="I935" s="2"/>
      <c r="J935" s="2"/>
      <c r="K935" s="1" t="s">
        <v>15</v>
      </c>
    </row>
    <row r="936" ht="15.75" customHeight="1">
      <c r="A936" s="1">
        <v>935.0</v>
      </c>
      <c r="B936" s="1">
        <v>23.0</v>
      </c>
      <c r="C936" s="4" t="s">
        <v>48</v>
      </c>
      <c r="D936" s="38" t="str">
        <f>IFERROR(__xludf.DUMMYFUNCTION("LET(
  words, TRANSPOSE(SPLIT($C936,""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plagi kong bilin sa")</f>
        <v>, plagi kong bilin sa</v>
      </c>
      <c r="E936" s="39" t="str">
        <f>IFERROR(__xludf.DUMMYFUNCTION("INDEX(SPLIT($C936,"" ""), ROW()-ROW($E$873)+1)
"),"kong")</f>
        <v>kong</v>
      </c>
      <c r="F936" s="30" t="s">
        <v>16</v>
      </c>
      <c r="G936" s="1" t="s">
        <v>19</v>
      </c>
      <c r="H936" s="1" t="s">
        <v>0</v>
      </c>
      <c r="I936" s="2"/>
      <c r="J936" s="2"/>
      <c r="K936" s="1" t="s">
        <v>15</v>
      </c>
    </row>
    <row r="937" ht="15.75" customHeight="1">
      <c r="A937" s="1">
        <v>936.0</v>
      </c>
      <c r="B937" s="1">
        <v>23.0</v>
      </c>
      <c r="C937" s="4" t="s">
        <v>48</v>
      </c>
      <c r="D937" s="38" t="str">
        <f>IFERROR(__xludf.DUMMYFUNCTION("LET(
  words, TRANSPOSE(SPLIT($C937,""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)"),"plagi kong bilin sa inyo")</f>
        <v>plagi kong bilin sa inyo</v>
      </c>
      <c r="E937" s="39" t="str">
        <f>IFERROR(__xludf.DUMMYFUNCTION("INDEX(SPLIT($C937,"" ""), ROW()-ROW($E$873)+1)
"),"bilin")</f>
        <v>bilin</v>
      </c>
      <c r="F937" s="30" t="s">
        <v>16</v>
      </c>
      <c r="G937" s="2"/>
      <c r="H937" s="1" t="s">
        <v>0</v>
      </c>
      <c r="I937" s="2"/>
      <c r="J937" s="2"/>
      <c r="K937" s="1" t="s">
        <v>15</v>
      </c>
    </row>
    <row r="938" ht="15.75" customHeight="1">
      <c r="A938" s="1">
        <v>937.0</v>
      </c>
      <c r="B938" s="1">
        <v>23.0</v>
      </c>
      <c r="C938" s="4" t="s">
        <v>48</v>
      </c>
      <c r="D938" s="38" t="str">
        <f>IFERROR(__xludf.DUMMYFUNCTION("LET(
  words, TRANSPOSE(SPLIT($C938,""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)"),"kong bilin sa inyo ,")</f>
        <v>kong bilin sa inyo ,</v>
      </c>
      <c r="E938" s="39" t="str">
        <f>IFERROR(__xludf.DUMMYFUNCTION("INDEX(SPLIT($C938,"" ""), ROW()-ROW($E$873)+1)
"),"sa")</f>
        <v>sa</v>
      </c>
      <c r="F938" s="30" t="s">
        <v>16</v>
      </c>
      <c r="G938" s="2"/>
      <c r="H938" s="1" t="s">
        <v>0</v>
      </c>
      <c r="I938" s="2"/>
      <c r="J938" s="2"/>
      <c r="K938" s="1" t="s">
        <v>15</v>
      </c>
    </row>
    <row r="939" ht="15.75" customHeight="1">
      <c r="A939" s="1">
        <v>938.0</v>
      </c>
      <c r="B939" s="1">
        <v>23.0</v>
      </c>
      <c r="C939" s="4" t="s">
        <v>48</v>
      </c>
      <c r="D939" s="38" t="str">
        <f>IFERROR(__xludf.DUMMYFUNCTION("LET(
  words, TRANSPOSE(SPLIT($C939,""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)"),"bilin sa inyo , mag")</f>
        <v>bilin sa inyo , mag</v>
      </c>
      <c r="E939" s="39" t="str">
        <f>IFERROR(__xludf.DUMMYFUNCTION("INDEX(SPLIT($C939,"" ""), ROW()-ROW($E$873)+1)
"),"inyo")</f>
        <v>inyo</v>
      </c>
      <c r="F939" s="30" t="s">
        <v>16</v>
      </c>
      <c r="G939" s="2"/>
      <c r="H939" s="1" t="s">
        <v>0</v>
      </c>
      <c r="I939" s="2"/>
      <c r="J939" s="2"/>
      <c r="K939" s="1" t="s">
        <v>15</v>
      </c>
    </row>
    <row r="940" ht="15.75" customHeight="1">
      <c r="A940" s="1">
        <v>939.0</v>
      </c>
      <c r="B940" s="1">
        <v>23.0</v>
      </c>
      <c r="C940" s="4" t="s">
        <v>48</v>
      </c>
      <c r="D940" s="38" t="str">
        <f>IFERROR(__xludf.DUMMYFUNCTION("LET(
  words, TRANSPOSE(SPLIT($C940,""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inyo , mag ingat")</f>
        <v>sa inyo , mag ingat</v>
      </c>
      <c r="E940" s="39" t="str">
        <f>IFERROR(__xludf.DUMMYFUNCTION("INDEX(SPLIT($C940,"" ""), ROW()-ROW($E$873)+1)
"),",")</f>
        <v>,</v>
      </c>
      <c r="F940" s="30" t="s">
        <v>17</v>
      </c>
      <c r="G940" s="2"/>
      <c r="H940" s="1" t="s">
        <v>0</v>
      </c>
      <c r="I940" s="2"/>
      <c r="J940" s="2"/>
      <c r="K940" s="1" t="s">
        <v>15</v>
      </c>
    </row>
    <row r="941" ht="15.75" customHeight="1">
      <c r="A941" s="1">
        <v>940.0</v>
      </c>
      <c r="B941" s="1">
        <v>23.0</v>
      </c>
      <c r="C941" s="4" t="s">
        <v>48</v>
      </c>
      <c r="D941" s="38" t="str">
        <f>IFERROR(__xludf.DUMMYFUNCTION("LET(
  words, TRANSPOSE(SPLIT($C941,""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)"),"inyo , mag ingat at")</f>
        <v>inyo , mag ingat at</v>
      </c>
      <c r="E941" s="39" t="str">
        <f>IFERROR(__xludf.DUMMYFUNCTION("INDEX(SPLIT($C941,"" ""), ROW()-ROW($E$873)+1)
"),"mag")</f>
        <v>mag</v>
      </c>
      <c r="F941" s="30" t="s">
        <v>16</v>
      </c>
      <c r="G941" s="2"/>
      <c r="H941" s="1" t="s">
        <v>0</v>
      </c>
      <c r="I941" s="2"/>
      <c r="J941" s="2"/>
      <c r="K941" s="1" t="s">
        <v>15</v>
      </c>
    </row>
    <row r="942" ht="15.75" customHeight="1">
      <c r="A942" s="1">
        <v>941.0</v>
      </c>
      <c r="B942" s="1">
        <v>23.0</v>
      </c>
      <c r="C942" s="4" t="s">
        <v>48</v>
      </c>
      <c r="D942" s="38" t="str">
        <f>IFERROR(__xludf.DUMMYFUNCTION("LET(
  words, TRANSPOSE(SPLIT($C942,""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mag ingat at mag")</f>
        <v>, mag ingat at mag</v>
      </c>
      <c r="E942" s="39" t="str">
        <f>IFERROR(__xludf.DUMMYFUNCTION("INDEX(SPLIT($C942,"" ""), ROW()-ROW($E$873)+1)
"),"ingat")</f>
        <v>ingat</v>
      </c>
      <c r="F942" s="30" t="s">
        <v>16</v>
      </c>
      <c r="G942" s="2"/>
      <c r="H942" s="1" t="s">
        <v>0</v>
      </c>
      <c r="I942" s="2"/>
      <c r="J942" s="2"/>
      <c r="K942" s="1" t="s">
        <v>15</v>
      </c>
    </row>
    <row r="943" ht="15.75" customHeight="1">
      <c r="A943" s="1">
        <v>942.0</v>
      </c>
      <c r="B943" s="1">
        <v>23.0</v>
      </c>
      <c r="C943" s="4" t="s">
        <v>48</v>
      </c>
      <c r="D943" s="38" t="str">
        <f>IFERROR(__xludf.DUMMYFUNCTION("LET(
  words, TRANSPOSE(SPLIT($C943,""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)"),"mag ingat at mag isip")</f>
        <v>mag ingat at mag isip</v>
      </c>
      <c r="E943" s="39" t="str">
        <f>IFERROR(__xludf.DUMMYFUNCTION("INDEX(SPLIT($C943,"" ""), ROW()-ROW($E$873)+1)
"),"at")</f>
        <v>at</v>
      </c>
      <c r="F943" s="30" t="s">
        <v>16</v>
      </c>
      <c r="G943" s="2"/>
      <c r="H943" s="1" t="s">
        <v>0</v>
      </c>
      <c r="I943" s="2"/>
      <c r="J943" s="2"/>
      <c r="K943" s="1" t="s">
        <v>15</v>
      </c>
    </row>
    <row r="944" ht="15.75" customHeight="1">
      <c r="A944" s="1">
        <v>943.0</v>
      </c>
      <c r="B944" s="1">
        <v>23.0</v>
      </c>
      <c r="C944" s="4" t="s">
        <v>48</v>
      </c>
      <c r="D944" s="38" t="str">
        <f>IFERROR(__xludf.DUMMYFUNCTION("LET(
  words, TRANSPOSE(SPLIT($C944,""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)"),"ingat at mag isip muna")</f>
        <v>ingat at mag isip muna</v>
      </c>
      <c r="E944" s="39" t="str">
        <f>IFERROR(__xludf.DUMMYFUNCTION("INDEX(SPLIT($C944,"" ""), ROW()-ROW($E$873)+1)
"),"mag")</f>
        <v>mag</v>
      </c>
      <c r="F944" s="30" t="s">
        <v>16</v>
      </c>
      <c r="G944" s="2"/>
      <c r="H944" s="1" t="s">
        <v>0</v>
      </c>
      <c r="I944" s="2"/>
      <c r="J944" s="2"/>
      <c r="K944" s="1" t="s">
        <v>15</v>
      </c>
    </row>
    <row r="945" ht="15.75" customHeight="1">
      <c r="A945" s="1">
        <v>944.0</v>
      </c>
      <c r="B945" s="1">
        <v>23.0</v>
      </c>
      <c r="C945" s="4" t="s">
        <v>48</v>
      </c>
      <c r="D945" s="38" t="str">
        <f>IFERROR(__xludf.DUMMYFUNCTION("LET(
  words, TRANSPOSE(SPLIT($C945,""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)"),"at mag isip muna bago")</f>
        <v>at mag isip muna bago</v>
      </c>
      <c r="E945" s="39" t="str">
        <f>IFERROR(__xludf.DUMMYFUNCTION("INDEX(SPLIT($C945,"" ""), ROW()-ROW($E$873)+1)
"),"isip")</f>
        <v>isip</v>
      </c>
      <c r="F945" s="30" t="s">
        <v>16</v>
      </c>
      <c r="G945" s="2"/>
      <c r="H945" s="1" t="s">
        <v>0</v>
      </c>
      <c r="I945" s="2"/>
      <c r="J945" s="2"/>
      <c r="K945" s="1" t="s">
        <v>15</v>
      </c>
    </row>
    <row r="946" ht="15.75" customHeight="1">
      <c r="A946" s="1">
        <v>945.0</v>
      </c>
      <c r="B946" s="1">
        <v>23.0</v>
      </c>
      <c r="C946" s="4" t="s">
        <v>48</v>
      </c>
      <c r="D946" s="38" t="str">
        <f>IFERROR(__xludf.DUMMYFUNCTION("LET(
  words, TRANSPOSE(SPLIT($C946,""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)"),"mag isip muna bago mag")</f>
        <v>mag isip muna bago mag</v>
      </c>
      <c r="E946" s="39" t="str">
        <f>IFERROR(__xludf.DUMMYFUNCTION("INDEX(SPLIT($C946,"" ""), ROW()-ROW($E$873)+1)
"),"muna")</f>
        <v>muna</v>
      </c>
      <c r="F946" s="30" t="s">
        <v>16</v>
      </c>
      <c r="G946" s="2"/>
      <c r="H946" s="1" t="s">
        <v>0</v>
      </c>
      <c r="I946" s="2"/>
      <c r="J946" s="2"/>
      <c r="K946" s="1" t="s">
        <v>15</v>
      </c>
    </row>
    <row r="947" ht="15.75" customHeight="1">
      <c r="A947" s="1">
        <v>946.0</v>
      </c>
      <c r="B947" s="1">
        <v>23.0</v>
      </c>
      <c r="C947" s="4" t="s">
        <v>48</v>
      </c>
      <c r="D947" s="38" t="str">
        <f>IFERROR(__xludf.DUMMYFUNCTION("LET(
  words, TRANSPOSE(SPLIT($C947,""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)"),"isip muna bago mag tweet")</f>
        <v>isip muna bago mag tweet</v>
      </c>
      <c r="E947" s="39" t="str">
        <f>IFERROR(__xludf.DUMMYFUNCTION("INDEX(SPLIT($C947,"" ""), ROW()-ROW($E$873)+1)
"),"bago")</f>
        <v>bago</v>
      </c>
      <c r="F947" s="30" t="s">
        <v>16</v>
      </c>
      <c r="G947" s="2"/>
      <c r="H947" s="1" t="s">
        <v>0</v>
      </c>
      <c r="I947" s="2"/>
      <c r="J947" s="2"/>
      <c r="K947" s="1" t="s">
        <v>15</v>
      </c>
    </row>
    <row r="948" ht="15.75" customHeight="1">
      <c r="A948" s="1">
        <v>947.0</v>
      </c>
      <c r="B948" s="1">
        <v>23.0</v>
      </c>
      <c r="C948" s="4" t="s">
        <v>48</v>
      </c>
      <c r="D948" s="38" t="str">
        <f>IFERROR(__xludf.DUMMYFUNCTION("LET(
  words, TRANSPOSE(SPLIT($C948,""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)"),"muna bago mag tweet para")</f>
        <v>muna bago mag tweet para</v>
      </c>
      <c r="E948" s="39" t="str">
        <f>IFERROR(__xludf.DUMMYFUNCTION("INDEX(SPLIT($C948,"" ""), ROW()-ROW($E$873)+1)
"),"mag")</f>
        <v>mag</v>
      </c>
      <c r="F948" s="30" t="s">
        <v>16</v>
      </c>
      <c r="G948" s="2"/>
      <c r="H948" s="1" t="s">
        <v>0</v>
      </c>
      <c r="I948" s="2"/>
      <c r="J948" s="2"/>
      <c r="K948" s="1" t="s">
        <v>15</v>
      </c>
    </row>
    <row r="949" ht="15.75" customHeight="1">
      <c r="A949" s="1">
        <v>948.0</v>
      </c>
      <c r="B949" s="1">
        <v>23.0</v>
      </c>
      <c r="C949" s="4" t="s">
        <v>48</v>
      </c>
      <c r="D949" s="38" t="str">
        <f>IFERROR(__xludf.DUMMYFUNCTION("LET(
  words, TRANSPOSE(SPLIT($C949,""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)"),"bago mag tweet para walang")</f>
        <v>bago mag tweet para walang</v>
      </c>
      <c r="E949" s="39" t="str">
        <f>IFERROR(__xludf.DUMMYFUNCTION("INDEX(SPLIT($C949,"" ""), ROW()-ROW($E$873)+1)
"),"tweet")</f>
        <v>tweet</v>
      </c>
      <c r="F949" s="30" t="s">
        <v>18</v>
      </c>
      <c r="G949" s="2"/>
      <c r="H949" s="1" t="s">
        <v>0</v>
      </c>
      <c r="I949" s="2"/>
      <c r="J949" s="2"/>
      <c r="K949" s="1" t="s">
        <v>15</v>
      </c>
    </row>
    <row r="950" ht="15.75" customHeight="1">
      <c r="A950" s="1">
        <v>949.0</v>
      </c>
      <c r="B950" s="1">
        <v>23.0</v>
      </c>
      <c r="C950" s="4" t="s">
        <v>48</v>
      </c>
      <c r="D950" s="38" t="str">
        <f>IFERROR(__xludf.DUMMYFUNCTION("LET(
  words, TRANSPOSE(SPLIT($C950,""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)"),"mag tweet para walang pagsisisihan")</f>
        <v>mag tweet para walang pagsisisihan</v>
      </c>
      <c r="E950" s="39" t="str">
        <f>IFERROR(__xludf.DUMMYFUNCTION("INDEX(SPLIT($C950,"" ""), ROW()-ROW($E$873)+1)
"),"para")</f>
        <v>para</v>
      </c>
      <c r="F950" s="30" t="s">
        <v>16</v>
      </c>
      <c r="G950" s="2"/>
      <c r="H950" s="1" t="s">
        <v>0</v>
      </c>
      <c r="I950" s="2"/>
      <c r="J950" s="2"/>
      <c r="K950" s="1" t="s">
        <v>15</v>
      </c>
    </row>
    <row r="951" ht="15.75" customHeight="1">
      <c r="A951" s="1">
        <v>950.0</v>
      </c>
      <c r="B951" s="1">
        <v>23.0</v>
      </c>
      <c r="C951" s="4" t="s">
        <v>48</v>
      </c>
      <c r="D951" s="38" t="str">
        <f>IFERROR(__xludf.DUMMYFUNCTION("LET(
  words, TRANSPOSE(SPLIT($C951,""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)"),"tweet para walang pagsisisihan sa")</f>
        <v>tweet para walang pagsisisihan sa</v>
      </c>
      <c r="E951" s="39" t="str">
        <f>IFERROR(__xludf.DUMMYFUNCTION("INDEX(SPLIT($C951,"" ""), ROW()-ROW($E$873)+1)
"),"walang")</f>
        <v>walang</v>
      </c>
      <c r="F951" s="30" t="s">
        <v>16</v>
      </c>
      <c r="G951" s="2"/>
      <c r="H951" s="1" t="s">
        <v>0</v>
      </c>
      <c r="I951" s="2"/>
      <c r="J951" s="2"/>
      <c r="K951" s="1" t="s">
        <v>15</v>
      </c>
    </row>
    <row r="952" ht="15.75" customHeight="1">
      <c r="A952" s="1">
        <v>951.0</v>
      </c>
      <c r="B952" s="1">
        <v>23.0</v>
      </c>
      <c r="C952" s="4" t="s">
        <v>48</v>
      </c>
      <c r="D952" s="38" t="str">
        <f>IFERROR(__xludf.DUMMYFUNCTION("LET(
  words, TRANSPOSE(SPLIT($C952,""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)"),"para walang pagsisisihan sa huli")</f>
        <v>para walang pagsisisihan sa huli</v>
      </c>
      <c r="E952" s="39" t="str">
        <f>IFERROR(__xludf.DUMMYFUNCTION("INDEX(SPLIT($C952,"" ""), ROW()-ROW($E$873)+1)
"),"pagsisisihan")</f>
        <v>pagsisisihan</v>
      </c>
      <c r="F952" s="30" t="s">
        <v>16</v>
      </c>
      <c r="G952" s="2"/>
      <c r="H952" s="1" t="s">
        <v>0</v>
      </c>
      <c r="I952" s="2"/>
      <c r="J952" s="2"/>
      <c r="K952" s="1" t="s">
        <v>15</v>
      </c>
    </row>
    <row r="953" ht="15.75" customHeight="1">
      <c r="A953" s="1">
        <v>952.0</v>
      </c>
      <c r="B953" s="1">
        <v>23.0</v>
      </c>
      <c r="C953" s="4" t="s">
        <v>48</v>
      </c>
      <c r="D953" s="38" t="str">
        <f>IFERROR(__xludf.DUMMYFUNCTION("LET(
  words, TRANSPOSE(SPLIT($C953,""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)"),"walang pagsisisihan sa huli .")</f>
        <v>walang pagsisisihan sa huli .</v>
      </c>
      <c r="E953" s="39" t="str">
        <f>IFERROR(__xludf.DUMMYFUNCTION("INDEX(SPLIT($C953,"" ""), ROW()-ROW($E$873)+1)
"),"sa")</f>
        <v>sa</v>
      </c>
      <c r="F953" s="30" t="s">
        <v>16</v>
      </c>
      <c r="G953" s="2"/>
      <c r="H953" s="1" t="s">
        <v>0</v>
      </c>
      <c r="I953" s="2"/>
      <c r="J953" s="2"/>
      <c r="K953" s="1" t="s">
        <v>15</v>
      </c>
    </row>
    <row r="954" ht="15.75" customHeight="1">
      <c r="A954" s="1">
        <v>953.0</v>
      </c>
      <c r="B954" s="1">
        <v>23.0</v>
      </c>
      <c r="C954" s="4" t="s">
        <v>48</v>
      </c>
      <c r="D954" s="38" t="str">
        <f>IFERROR(__xludf.DUMMYFUNCTION("LET(
  words, TRANSPOSE(SPLIT($C954,""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)"),"pagsisisihan sa huli .")</f>
        <v>pagsisisihan sa huli .</v>
      </c>
      <c r="E954" s="39" t="str">
        <f>IFERROR(__xludf.DUMMYFUNCTION("INDEX(SPLIT($C954,"" ""), ROW()-ROW($E$873)+1)
"),"huli")</f>
        <v>huli</v>
      </c>
      <c r="F954" s="30" t="s">
        <v>16</v>
      </c>
      <c r="G954" s="2"/>
      <c r="H954" s="1" t="s">
        <v>0</v>
      </c>
      <c r="I954" s="2"/>
      <c r="J954" s="2"/>
      <c r="K954" s="1" t="s">
        <v>15</v>
      </c>
    </row>
    <row r="955" ht="15.75" customHeight="1">
      <c r="A955" s="10">
        <v>954.0</v>
      </c>
      <c r="B955" s="10">
        <v>23.0</v>
      </c>
      <c r="C955" s="7" t="s">
        <v>48</v>
      </c>
      <c r="D955" s="40" t="str">
        <f>IFERROR(__xludf.DUMMYFUNCTION("LET(
  words, TRANSPOSE(SPLIT($C955,"" "")),
  n, ROWS(words),
  i, ROW() - ROW($D$873)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huli .")</f>
        <v>sa huli .</v>
      </c>
      <c r="E955" s="41" t="str">
        <f>IFERROR(__xludf.DUMMYFUNCTION("INDEX(SPLIT($C955,"" ""), ROW()-ROW($E$873)+1)
"),".")</f>
        <v>.</v>
      </c>
      <c r="F955" s="32" t="s">
        <v>17</v>
      </c>
      <c r="G955" s="6"/>
      <c r="H955" s="10" t="s">
        <v>0</v>
      </c>
      <c r="I955" s="6"/>
      <c r="J955" s="6"/>
      <c r="K955" s="10" t="s">
        <v>15</v>
      </c>
      <c r="L955" s="6"/>
    </row>
    <row r="956" ht="15.75" customHeight="1">
      <c r="A956" s="1">
        <v>955.0</v>
      </c>
      <c r="B956" s="1">
        <v>24.0</v>
      </c>
      <c r="C956" s="4" t="s">
        <v>49</v>
      </c>
      <c r="D956" s="38" t="str">
        <f>IFERROR(__xludf.DUMMYFUNCTION("LET(
  words, TRANSPOSE(SPLIT($C956,""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lahat ng")</f>
        <v>sa lahat ng</v>
      </c>
      <c r="E956" s="39" t="str">
        <f>IFERROR(__xludf.DUMMYFUNCTION("INDEX(SPLIT($C956,"" ""), ROW()-ROW($E$956)+1)
"),"sa")</f>
        <v>sa</v>
      </c>
      <c r="F956" s="30" t="s">
        <v>16</v>
      </c>
      <c r="G956" s="2"/>
      <c r="H956" s="1" t="s">
        <v>0</v>
      </c>
      <c r="I956" s="2"/>
      <c r="J956" s="2"/>
      <c r="K956" s="1" t="s">
        <v>15</v>
      </c>
    </row>
    <row r="957" ht="15.75" customHeight="1">
      <c r="A957" s="1">
        <v>956.0</v>
      </c>
      <c r="B957" s="1">
        <v>24.0</v>
      </c>
      <c r="C957" s="4" t="s">
        <v>49</v>
      </c>
      <c r="D957" s="38" t="str">
        <f>IFERROR(__xludf.DUMMYFUNCTION("LET(
  words, TRANSPOSE(SPLIT($C957,""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lahat ng mga")</f>
        <v>sa lahat ng mga</v>
      </c>
      <c r="E957" s="39" t="str">
        <f>IFERROR(__xludf.DUMMYFUNCTION("INDEX(SPLIT($C957,"" ""), ROW()-ROW($E$956)+1)
"),"lahat")</f>
        <v>lahat</v>
      </c>
      <c r="F957" s="30" t="s">
        <v>16</v>
      </c>
      <c r="G957" s="2"/>
      <c r="H957" s="1" t="s">
        <v>0</v>
      </c>
      <c r="I957" s="2"/>
      <c r="J957" s="2"/>
      <c r="K957" s="1" t="s">
        <v>15</v>
      </c>
    </row>
    <row r="958" ht="15.75" customHeight="1">
      <c r="A958" s="1">
        <v>957.0</v>
      </c>
      <c r="B958" s="1">
        <v>24.0</v>
      </c>
      <c r="C958" s="4" t="s">
        <v>49</v>
      </c>
      <c r="D958" s="38" t="str">
        <f>IFERROR(__xludf.DUMMYFUNCTION("LET(
  words, TRANSPOSE(SPLIT($C958,""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)"),"sa lahat ng mga manghuhula")</f>
        <v>sa lahat ng mga manghuhula</v>
      </c>
      <c r="E958" s="39" t="str">
        <f>IFERROR(__xludf.DUMMYFUNCTION("INDEX(SPLIT($C958,"" ""), ROW()-ROW($E$956)+1)
"),"ng")</f>
        <v>ng</v>
      </c>
      <c r="F958" s="30" t="s">
        <v>16</v>
      </c>
      <c r="G958" s="2"/>
      <c r="H958" s="1" t="s">
        <v>0</v>
      </c>
      <c r="I958" s="2"/>
      <c r="J958" s="2"/>
      <c r="K958" s="1" t="s">
        <v>15</v>
      </c>
    </row>
    <row r="959" ht="15.75" customHeight="1">
      <c r="A959" s="1">
        <v>958.0</v>
      </c>
      <c r="B959" s="1">
        <v>24.0</v>
      </c>
      <c r="C959" s="4" t="s">
        <v>49</v>
      </c>
      <c r="D959" s="38" t="str">
        <f>IFERROR(__xludf.DUMMYFUNCTION("LET(
  words, TRANSPOSE(SPLIT($C959,""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)"),"lahat ng mga manghuhula nagsabing")</f>
        <v>lahat ng mga manghuhula nagsabing</v>
      </c>
      <c r="E959" s="39" t="str">
        <f>IFERROR(__xludf.DUMMYFUNCTION("INDEX(SPLIT($C959,"" ""), ROW()-ROW($E$956)+1)
"),"mga")</f>
        <v>mga</v>
      </c>
      <c r="F959" s="30" t="s">
        <v>16</v>
      </c>
      <c r="G959" s="2"/>
      <c r="H959" s="1" t="s">
        <v>0</v>
      </c>
      <c r="I959" s="2"/>
      <c r="J959" s="2"/>
      <c r="K959" s="1" t="s">
        <v>15</v>
      </c>
    </row>
    <row r="960" ht="15.75" customHeight="1">
      <c r="A960" s="1">
        <v>959.0</v>
      </c>
      <c r="B960" s="1">
        <v>24.0</v>
      </c>
      <c r="C960" s="4" t="s">
        <v>49</v>
      </c>
      <c r="D960" s="38" t="str">
        <f>IFERROR(__xludf.DUMMYFUNCTION("LET(
  words, TRANSPOSE(SPLIT($C960,""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)"),"ng mga manghuhula nagsabing malapit")</f>
        <v>ng mga manghuhula nagsabing malapit</v>
      </c>
      <c r="E960" s="39" t="str">
        <f>IFERROR(__xludf.DUMMYFUNCTION("INDEX(SPLIT($C960,"" ""), ROW()-ROW($E$956)+1)
"),"manghuhula")</f>
        <v>manghuhula</v>
      </c>
      <c r="F960" s="30" t="s">
        <v>16</v>
      </c>
      <c r="G960" s="2"/>
      <c r="H960" s="1" t="s">
        <v>0</v>
      </c>
      <c r="I960" s="2"/>
      <c r="J960" s="2"/>
      <c r="K960" s="1" t="s">
        <v>15</v>
      </c>
    </row>
    <row r="961" ht="15.75" customHeight="1">
      <c r="A961" s="1">
        <v>960.0</v>
      </c>
      <c r="B961" s="1">
        <v>24.0</v>
      </c>
      <c r="C961" s="4" t="s">
        <v>49</v>
      </c>
      <c r="D961" s="38" t="str">
        <f>IFERROR(__xludf.DUMMYFUNCTION("LET(
  words, TRANSPOSE(SPLIT($C961,""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)"),"mga manghuhula nagsabing malapit na")</f>
        <v>mga manghuhula nagsabing malapit na</v>
      </c>
      <c r="E961" s="39" t="str">
        <f>IFERROR(__xludf.DUMMYFUNCTION("INDEX(SPLIT($C961,"" ""), ROW()-ROW($E$956)+1)
"),"nagsabing")</f>
        <v>nagsabing</v>
      </c>
      <c r="F961" s="30" t="s">
        <v>16</v>
      </c>
      <c r="G961" s="2"/>
      <c r="H961" s="1" t="s">
        <v>0</v>
      </c>
      <c r="I961" s="2"/>
      <c r="J961" s="2"/>
      <c r="K961" s="1" t="s">
        <v>15</v>
      </c>
    </row>
    <row r="962" ht="15.75" customHeight="1">
      <c r="A962" s="1">
        <v>961.0</v>
      </c>
      <c r="B962" s="1">
        <v>24.0</v>
      </c>
      <c r="C962" s="4" t="s">
        <v>49</v>
      </c>
      <c r="D962" s="38" t="str">
        <f>IFERROR(__xludf.DUMMYFUNCTION("LET(
  words, TRANSPOSE(SPLIT($C962,""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)"),"manghuhula nagsabing malapit na kong")</f>
        <v>manghuhula nagsabing malapit na kong</v>
      </c>
      <c r="E962" s="39" t="str">
        <f>IFERROR(__xludf.DUMMYFUNCTION("INDEX(SPLIT($C962,"" ""), ROW()-ROW($E$956)+1)
"),"malapit")</f>
        <v>malapit</v>
      </c>
      <c r="F962" s="30" t="s">
        <v>16</v>
      </c>
      <c r="G962" s="2"/>
      <c r="H962" s="1" t="s">
        <v>0</v>
      </c>
      <c r="I962" s="2"/>
      <c r="J962" s="2"/>
      <c r="K962" s="1" t="s">
        <v>15</v>
      </c>
    </row>
    <row r="963" ht="15.75" customHeight="1">
      <c r="A963" s="1">
        <v>962.0</v>
      </c>
      <c r="B963" s="1">
        <v>24.0</v>
      </c>
      <c r="C963" s="4" t="s">
        <v>49</v>
      </c>
      <c r="D963" s="38" t="str">
        <f>IFERROR(__xludf.DUMMYFUNCTION("LET(
  words, TRANSPOSE(SPLIT($C963,""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)"),"nagsabing malapit na kong mamatay")</f>
        <v>nagsabing malapit na kong mamatay</v>
      </c>
      <c r="E963" s="39" t="str">
        <f>IFERROR(__xludf.DUMMYFUNCTION("INDEX(SPLIT($C963,"" ""), ROW()-ROW($E$956)+1)
"),"na")</f>
        <v>na</v>
      </c>
      <c r="F963" s="30" t="s">
        <v>16</v>
      </c>
      <c r="G963" s="2"/>
      <c r="H963" s="1" t="s">
        <v>0</v>
      </c>
      <c r="I963" s="2"/>
      <c r="J963" s="2"/>
      <c r="K963" s="1" t="s">
        <v>15</v>
      </c>
    </row>
    <row r="964" ht="15.75" customHeight="1">
      <c r="A964" s="1">
        <v>963.0</v>
      </c>
      <c r="B964" s="1">
        <v>24.0</v>
      </c>
      <c r="C964" s="4" t="s">
        <v>49</v>
      </c>
      <c r="D964" s="38" t="str">
        <f>IFERROR(__xludf.DUMMYFUNCTION("LET(
  words, TRANSPOSE(SPLIT($C964,""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)"),"malapit na kong mamatay or")</f>
        <v>malapit na kong mamatay or</v>
      </c>
      <c r="E964" s="39" t="str">
        <f>IFERROR(__xludf.DUMMYFUNCTION("INDEX(SPLIT($C964,"" ""), ROW()-ROW($E$956)+1)
"),"kong")</f>
        <v>kong</v>
      </c>
      <c r="F964" s="30" t="s">
        <v>16</v>
      </c>
      <c r="G964" s="2"/>
      <c r="H964" s="1" t="s">
        <v>0</v>
      </c>
      <c r="I964" s="2"/>
      <c r="J964" s="2"/>
      <c r="K964" s="1" t="s">
        <v>15</v>
      </c>
    </row>
    <row r="965" ht="15.75" customHeight="1">
      <c r="A965" s="1">
        <v>964.0</v>
      </c>
      <c r="B965" s="1">
        <v>24.0</v>
      </c>
      <c r="C965" s="4" t="s">
        <v>49</v>
      </c>
      <c r="D965" s="38" t="str">
        <f>IFERROR(__xludf.DUMMYFUNCTION("LET(
  words, TRANSPOSE(SPLIT($C965,""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kong mamatay or yung")</f>
        <v>na kong mamatay or yung</v>
      </c>
      <c r="E965" s="39" t="str">
        <f>IFERROR(__xludf.DUMMYFUNCTION("INDEX(SPLIT($C965,"" ""), ROW()-ROW($E$956)+1)
"),"mamatay")</f>
        <v>mamatay</v>
      </c>
      <c r="F965" s="30" t="s">
        <v>16</v>
      </c>
      <c r="G965" s="2"/>
      <c r="H965" s="1" t="s">
        <v>0</v>
      </c>
      <c r="I965" s="2"/>
      <c r="J965" s="2"/>
      <c r="K965" s="1" t="s">
        <v>15</v>
      </c>
    </row>
    <row r="966" ht="15.75" customHeight="1">
      <c r="A966" s="1">
        <v>965.0</v>
      </c>
      <c r="B966" s="1">
        <v>24.0</v>
      </c>
      <c r="C966" s="4" t="s">
        <v>49</v>
      </c>
      <c r="D966" s="38" t="str">
        <f>IFERROR(__xludf.DUMMYFUNCTION("LET(
  words, TRANSPOSE(SPLIT($C966,""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)"),"kong mamatay or yung mga")</f>
        <v>kong mamatay or yung mga</v>
      </c>
      <c r="E966" s="39" t="str">
        <f>IFERROR(__xludf.DUMMYFUNCTION("INDEX(SPLIT($C966,"" ""), ROW()-ROW($E$956)+1)
"),"or")</f>
        <v>or</v>
      </c>
      <c r="F966" s="30" t="s">
        <v>18</v>
      </c>
      <c r="G966" s="2"/>
      <c r="H966" s="1" t="s">
        <v>0</v>
      </c>
      <c r="I966" s="2"/>
      <c r="J966" s="2"/>
      <c r="K966" s="1" t="s">
        <v>15</v>
      </c>
    </row>
    <row r="967" ht="15.75" customHeight="1">
      <c r="A967" s="1">
        <v>966.0</v>
      </c>
      <c r="B967" s="1">
        <v>24.0</v>
      </c>
      <c r="C967" s="4" t="s">
        <v>49</v>
      </c>
      <c r="D967" s="38" t="str">
        <f>IFERROR(__xludf.DUMMYFUNCTION("LET(
  words, TRANSPOSE(SPLIT($C967,""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)"),"mamatay or yung mga nagbalita")</f>
        <v>mamatay or yung mga nagbalita</v>
      </c>
      <c r="E967" s="39" t="str">
        <f>IFERROR(__xludf.DUMMYFUNCTION("INDEX(SPLIT($C967,"" ""), ROW()-ROW($E$956)+1)
"),"yung")</f>
        <v>yung</v>
      </c>
      <c r="F967" s="30" t="s">
        <v>16</v>
      </c>
      <c r="G967" s="2"/>
      <c r="H967" s="1" t="s">
        <v>0</v>
      </c>
      <c r="I967" s="2"/>
      <c r="J967" s="2"/>
      <c r="K967" s="1" t="s">
        <v>15</v>
      </c>
    </row>
    <row r="968" ht="15.75" customHeight="1">
      <c r="A968" s="1">
        <v>967.0</v>
      </c>
      <c r="B968" s="1">
        <v>24.0</v>
      </c>
      <c r="C968" s="4" t="s">
        <v>49</v>
      </c>
      <c r="D968" s="38" t="str">
        <f>IFERROR(__xludf.DUMMYFUNCTION("LET(
  words, TRANSPOSE(SPLIT($C968,""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)"),"or yung mga nagbalita na")</f>
        <v>or yung mga nagbalita na</v>
      </c>
      <c r="E968" s="39" t="str">
        <f>IFERROR(__xludf.DUMMYFUNCTION("INDEX(SPLIT($C968,"" ""), ROW()-ROW($E$956)+1)
"),"mga")</f>
        <v>mga</v>
      </c>
      <c r="F968" s="30" t="s">
        <v>16</v>
      </c>
      <c r="G968" s="2"/>
      <c r="H968" s="1" t="s">
        <v>0</v>
      </c>
      <c r="I968" s="2"/>
      <c r="J968" s="2"/>
      <c r="K968" s="1" t="s">
        <v>15</v>
      </c>
    </row>
    <row r="969" ht="15.75" customHeight="1">
      <c r="A969" s="1">
        <v>968.0</v>
      </c>
      <c r="B969" s="1">
        <v>24.0</v>
      </c>
      <c r="C969" s="4" t="s">
        <v>49</v>
      </c>
      <c r="D969" s="38" t="str">
        <f>IFERROR(__xludf.DUMMYFUNCTION("LET(
  words, TRANSPOSE(SPLIT($C969,""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)"),"yung mga nagbalita na patay")</f>
        <v>yung mga nagbalita na patay</v>
      </c>
      <c r="E969" s="39" t="str">
        <f>IFERROR(__xludf.DUMMYFUNCTION("INDEX(SPLIT($C969,"" ""), ROW()-ROW($E$956)+1)
"),"nagbalita")</f>
        <v>nagbalita</v>
      </c>
      <c r="F969" s="30" t="s">
        <v>16</v>
      </c>
      <c r="G969" s="2"/>
      <c r="H969" s="1" t="s">
        <v>0</v>
      </c>
      <c r="I969" s="2"/>
      <c r="J969" s="2"/>
      <c r="K969" s="1" t="s">
        <v>15</v>
      </c>
    </row>
    <row r="970" ht="15.75" customHeight="1">
      <c r="A970" s="1">
        <v>969.0</v>
      </c>
      <c r="B970" s="1">
        <v>24.0</v>
      </c>
      <c r="C970" s="4" t="s">
        <v>49</v>
      </c>
      <c r="D970" s="38" t="str">
        <f>IFERROR(__xludf.DUMMYFUNCTION("LET(
  words, TRANSPOSE(SPLIT($C970,""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)"),"mga nagbalita na patay na")</f>
        <v>mga nagbalita na patay na</v>
      </c>
      <c r="E970" s="39" t="str">
        <f>IFERROR(__xludf.DUMMYFUNCTION("INDEX(SPLIT($C970,"" ""), ROW()-ROW($E$956)+1)
"),"na")</f>
        <v>na</v>
      </c>
      <c r="F970" s="30" t="s">
        <v>16</v>
      </c>
      <c r="G970" s="2"/>
      <c r="H970" s="1" t="s">
        <v>0</v>
      </c>
      <c r="I970" s="2"/>
      <c r="J970" s="2"/>
      <c r="K970" s="1" t="s">
        <v>15</v>
      </c>
    </row>
    <row r="971" ht="15.75" customHeight="1">
      <c r="A971" s="1">
        <v>970.0</v>
      </c>
      <c r="B971" s="1">
        <v>24.0</v>
      </c>
      <c r="C971" s="4" t="s">
        <v>49</v>
      </c>
      <c r="D971" s="38" t="str">
        <f>IFERROR(__xludf.DUMMYFUNCTION("LET(
  words, TRANSPOSE(SPLIT($C971,""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)"),"nagbalita na patay na ko")</f>
        <v>nagbalita na patay na ko</v>
      </c>
      <c r="E971" s="39" t="str">
        <f>IFERROR(__xludf.DUMMYFUNCTION("INDEX(SPLIT($C971,"" ""), ROW()-ROW($E$956)+1)
"),"patay")</f>
        <v>patay</v>
      </c>
      <c r="F971" s="30" t="s">
        <v>16</v>
      </c>
      <c r="G971" s="2"/>
      <c r="H971" s="1" t="s">
        <v>0</v>
      </c>
      <c r="I971" s="2"/>
      <c r="J971" s="2"/>
      <c r="K971" s="1" t="s">
        <v>15</v>
      </c>
    </row>
    <row r="972" ht="15.75" customHeight="1">
      <c r="A972" s="1">
        <v>971.0</v>
      </c>
      <c r="B972" s="1">
        <v>24.0</v>
      </c>
      <c r="C972" s="4" t="s">
        <v>49</v>
      </c>
      <c r="D972" s="38" t="str">
        <f>IFERROR(__xludf.DUMMYFUNCTION("LET(
  words, TRANSPOSE(SPLIT($C972,""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patay na ko alam")</f>
        <v>na patay na ko alam</v>
      </c>
      <c r="E972" s="39" t="str">
        <f>IFERROR(__xludf.DUMMYFUNCTION("INDEX(SPLIT($C972,"" ""), ROW()-ROW($E$956)+1)
"),"na")</f>
        <v>na</v>
      </c>
      <c r="F972" s="30" t="s">
        <v>16</v>
      </c>
      <c r="G972" s="2"/>
      <c r="H972" s="1" t="s">
        <v>0</v>
      </c>
      <c r="I972" s="2"/>
      <c r="J972" s="2"/>
      <c r="K972" s="1" t="s">
        <v>15</v>
      </c>
    </row>
    <row r="973" ht="15.75" customHeight="1">
      <c r="A973" s="1">
        <v>972.0</v>
      </c>
      <c r="B973" s="1">
        <v>24.0</v>
      </c>
      <c r="C973" s="4" t="s">
        <v>49</v>
      </c>
      <c r="D973" s="38" t="str">
        <f>IFERROR(__xludf.DUMMYFUNCTION("LET(
  words, TRANSPOSE(SPLIT($C973,""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)"),"patay na ko alam ko")</f>
        <v>patay na ko alam ko</v>
      </c>
      <c r="E973" s="39" t="str">
        <f>IFERROR(__xludf.DUMMYFUNCTION("INDEX(SPLIT($C973,"" ""), ROW()-ROW($E$956)+1)
"),"ko")</f>
        <v>ko</v>
      </c>
      <c r="F973" s="30" t="s">
        <v>16</v>
      </c>
      <c r="G973" s="2"/>
      <c r="H973" s="1" t="s">
        <v>0</v>
      </c>
      <c r="I973" s="2"/>
      <c r="J973" s="2"/>
      <c r="K973" s="1" t="s">
        <v>15</v>
      </c>
    </row>
    <row r="974" ht="15.75" customHeight="1">
      <c r="A974" s="1">
        <v>973.0</v>
      </c>
      <c r="B974" s="1">
        <v>24.0</v>
      </c>
      <c r="C974" s="4" t="s">
        <v>49</v>
      </c>
      <c r="D974" s="38" t="str">
        <f>IFERROR(__xludf.DUMMYFUNCTION("LET(
  words, TRANSPOSE(SPLIT($C974,""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)"),"na ko alam ko you")</f>
        <v>na ko alam ko you</v>
      </c>
      <c r="E974" s="39" t="str">
        <f>IFERROR(__xludf.DUMMYFUNCTION("INDEX(SPLIT($C974,"" ""), ROW()-ROW($E$956)+1)
"),"alam")</f>
        <v>alam</v>
      </c>
      <c r="F974" s="30" t="s">
        <v>16</v>
      </c>
      <c r="G974" s="2"/>
      <c r="H974" s="1" t="s">
        <v>0</v>
      </c>
      <c r="I974" s="2"/>
      <c r="J974" s="2"/>
      <c r="K974" s="1" t="s">
        <v>15</v>
      </c>
    </row>
    <row r="975" ht="15.75" customHeight="1">
      <c r="A975" s="1">
        <v>974.0</v>
      </c>
      <c r="B975" s="1">
        <v>24.0</v>
      </c>
      <c r="C975" s="4" t="s">
        <v>49</v>
      </c>
      <c r="D975" s="38" t="str">
        <f>IFERROR(__xludf.DUMMYFUNCTION("LET(
  words, TRANSPOSE(SPLIT($C975,""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)"),"ko alam ko you need")</f>
        <v>ko alam ko you need</v>
      </c>
      <c r="E975" s="39" t="str">
        <f>IFERROR(__xludf.DUMMYFUNCTION("INDEX(SPLIT($C975,"" ""), ROW()-ROW($E$956)+1)
"),"ko")</f>
        <v>ko</v>
      </c>
      <c r="F975" s="30" t="s">
        <v>16</v>
      </c>
      <c r="G975" s="2"/>
      <c r="H975" s="1" t="s">
        <v>0</v>
      </c>
      <c r="I975" s="2"/>
      <c r="J975" s="2"/>
      <c r="K975" s="1" t="s">
        <v>15</v>
      </c>
    </row>
    <row r="976" ht="15.75" customHeight="1">
      <c r="A976" s="1">
        <v>975.0</v>
      </c>
      <c r="B976" s="1">
        <v>24.0</v>
      </c>
      <c r="C976" s="4" t="s">
        <v>49</v>
      </c>
      <c r="D976" s="38" t="str">
        <f>IFERROR(__xludf.DUMMYFUNCTION("LET(
  words, TRANSPOSE(SPLIT($C976,""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)"),"alam ko you need to")</f>
        <v>alam ko you need to</v>
      </c>
      <c r="E976" s="39" t="str">
        <f>IFERROR(__xludf.DUMMYFUNCTION("INDEX(SPLIT($C976,"" ""), ROW()-ROW($E$956)+1)
"),"you")</f>
        <v>you</v>
      </c>
      <c r="F976" s="30" t="s">
        <v>18</v>
      </c>
      <c r="G976" s="2"/>
      <c r="H976" s="1" t="s">
        <v>0</v>
      </c>
      <c r="I976" s="2"/>
      <c r="J976" s="2"/>
      <c r="K976" s="1" t="s">
        <v>15</v>
      </c>
    </row>
    <row r="977" ht="15.75" customHeight="1">
      <c r="A977" s="1">
        <v>976.0</v>
      </c>
      <c r="B977" s="1">
        <v>24.0</v>
      </c>
      <c r="C977" s="4" t="s">
        <v>49</v>
      </c>
      <c r="D977" s="38" t="str">
        <f>IFERROR(__xludf.DUMMYFUNCTION("LET(
  words, TRANSPOSE(SPLIT($C977,""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)"),"ko you need to make")</f>
        <v>ko you need to make</v>
      </c>
      <c r="E977" s="39" t="str">
        <f>IFERROR(__xludf.DUMMYFUNCTION("INDEX(SPLIT($C977,"" ""), ROW()-ROW($E$956)+1)
"),"need")</f>
        <v>need</v>
      </c>
      <c r="F977" s="30" t="s">
        <v>18</v>
      </c>
      <c r="G977" s="2"/>
      <c r="H977" s="1" t="s">
        <v>0</v>
      </c>
      <c r="I977" s="2"/>
      <c r="J977" s="2"/>
      <c r="K977" s="1" t="s">
        <v>15</v>
      </c>
    </row>
    <row r="978" ht="15.75" customHeight="1">
      <c r="A978" s="1">
        <v>977.0</v>
      </c>
      <c r="B978" s="1">
        <v>24.0</v>
      </c>
      <c r="C978" s="4" t="s">
        <v>49</v>
      </c>
      <c r="D978" s="38" t="str">
        <f>IFERROR(__xludf.DUMMYFUNCTION("LET(
  words, TRANSPOSE(SPLIT($C978,""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)"),"you need to make money")</f>
        <v>you need to make money</v>
      </c>
      <c r="E978" s="39" t="str">
        <f>IFERROR(__xludf.DUMMYFUNCTION("INDEX(SPLIT($C978,"" ""), ROW()-ROW($E$956)+1)
"),"to")</f>
        <v>to</v>
      </c>
      <c r="F978" s="30" t="s">
        <v>18</v>
      </c>
      <c r="G978" s="2"/>
      <c r="H978" s="1" t="s">
        <v>0</v>
      </c>
      <c r="I978" s="2"/>
      <c r="J978" s="2"/>
      <c r="K978" s="1" t="s">
        <v>15</v>
      </c>
    </row>
    <row r="979" ht="15.75" customHeight="1">
      <c r="A979" s="1">
        <v>978.0</v>
      </c>
      <c r="B979" s="1">
        <v>24.0</v>
      </c>
      <c r="C979" s="4" t="s">
        <v>49</v>
      </c>
      <c r="D979" s="38" t="str">
        <f>IFERROR(__xludf.DUMMYFUNCTION("LET(
  words, TRANSPOSE(SPLIT($C979,""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)"),"need to make money ,")</f>
        <v>need to make money ,</v>
      </c>
      <c r="E979" s="39" t="str">
        <f>IFERROR(__xludf.DUMMYFUNCTION("INDEX(SPLIT($C979,"" ""), ROW()-ROW($E$956)+1)
"),"make")</f>
        <v>make</v>
      </c>
      <c r="F979" s="30" t="s">
        <v>18</v>
      </c>
      <c r="G979" s="2"/>
      <c r="H979" s="1" t="s">
        <v>0</v>
      </c>
      <c r="I979" s="2"/>
      <c r="J979" s="2"/>
      <c r="K979" s="1" t="s">
        <v>15</v>
      </c>
    </row>
    <row r="980" ht="15.75" customHeight="1">
      <c r="A980" s="1">
        <v>979.0</v>
      </c>
      <c r="B980" s="1">
        <v>24.0</v>
      </c>
      <c r="C980" s="4" t="s">
        <v>49</v>
      </c>
      <c r="D980" s="38" t="str">
        <f>IFERROR(__xludf.DUMMYFUNCTION("LET(
  words, TRANSPOSE(SPLIT($C980,""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)"),"to make money , but")</f>
        <v>to make money , but</v>
      </c>
      <c r="E980" s="39" t="str">
        <f>IFERROR(__xludf.DUMMYFUNCTION("INDEX(SPLIT($C980,"" ""), ROW()-ROW($E$956)+1)
"),"money")</f>
        <v>money</v>
      </c>
      <c r="F980" s="30" t="s">
        <v>18</v>
      </c>
      <c r="G980" s="2"/>
      <c r="H980" s="1" t="s">
        <v>0</v>
      </c>
      <c r="I980" s="2"/>
      <c r="J980" s="2"/>
      <c r="K980" s="1" t="s">
        <v>15</v>
      </c>
    </row>
    <row r="981" ht="15.75" customHeight="1">
      <c r="A981" s="1">
        <v>980.0</v>
      </c>
      <c r="B981" s="1">
        <v>24.0</v>
      </c>
      <c r="C981" s="4" t="s">
        <v>49</v>
      </c>
      <c r="D981" s="38" t="str">
        <f>IFERROR(__xludf.DUMMYFUNCTION("LET(
  words, TRANSPOSE(SPLIT($C981,""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)"),"make money , but this")</f>
        <v>make money , but this</v>
      </c>
      <c r="E981" s="39" t="str">
        <f>IFERROR(__xludf.DUMMYFUNCTION("INDEX(SPLIT($C981,"" ""), ROW()-ROW($E$956)+1)
"),",")</f>
        <v>,</v>
      </c>
      <c r="F981" s="30" t="s">
        <v>17</v>
      </c>
      <c r="G981" s="2"/>
      <c r="H981" s="1" t="s">
        <v>0</v>
      </c>
      <c r="I981" s="2"/>
      <c r="J981" s="2"/>
      <c r="K981" s="1" t="s">
        <v>15</v>
      </c>
    </row>
    <row r="982" ht="15.75" customHeight="1">
      <c r="A982" s="1">
        <v>981.0</v>
      </c>
      <c r="B982" s="1">
        <v>24.0</v>
      </c>
      <c r="C982" s="4" t="s">
        <v>49</v>
      </c>
      <c r="D982" s="38" t="str">
        <f>IFERROR(__xludf.DUMMYFUNCTION("LET(
  words, TRANSPOSE(SPLIT($C982,""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)"),"money , but this is")</f>
        <v>money , but this is</v>
      </c>
      <c r="E982" s="39" t="str">
        <f>IFERROR(__xludf.DUMMYFUNCTION("INDEX(SPLIT($C982,"" ""), ROW()-ROW($E$956)+1)
"),"but")</f>
        <v>but</v>
      </c>
      <c r="F982" s="30" t="s">
        <v>18</v>
      </c>
      <c r="G982" s="2"/>
      <c r="H982" s="1" t="s">
        <v>0</v>
      </c>
      <c r="I982" s="2"/>
      <c r="J982" s="2"/>
      <c r="K982" s="1" t="s">
        <v>15</v>
      </c>
    </row>
    <row r="983" ht="15.75" customHeight="1">
      <c r="A983" s="1">
        <v>982.0</v>
      </c>
      <c r="B983" s="1">
        <v>24.0</v>
      </c>
      <c r="C983" s="4" t="s">
        <v>49</v>
      </c>
      <c r="D983" s="38" t="str">
        <f>IFERROR(__xludf.DUMMYFUNCTION("LET(
  words, TRANSPOSE(SPLIT($C983,""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but this is a")</f>
        <v>, but this is a</v>
      </c>
      <c r="E983" s="39" t="str">
        <f>IFERROR(__xludf.DUMMYFUNCTION("INDEX(SPLIT($C983,"" ""), ROW()-ROW($E$956)+1)
"),"this")</f>
        <v>this</v>
      </c>
      <c r="F983" s="30" t="s">
        <v>18</v>
      </c>
      <c r="G983" s="2"/>
      <c r="H983" s="1" t="s">
        <v>0</v>
      </c>
      <c r="I983" s="2"/>
      <c r="J983" s="2"/>
      <c r="K983" s="1" t="s">
        <v>15</v>
      </c>
    </row>
    <row r="984" ht="15.75" customHeight="1">
      <c r="A984" s="1">
        <v>983.0</v>
      </c>
      <c r="B984" s="1">
        <v>24.0</v>
      </c>
      <c r="C984" s="4" t="s">
        <v>49</v>
      </c>
      <c r="D984" s="38" t="str">
        <f>IFERROR(__xludf.DUMMYFUNCTION("LET(
  words, TRANSPOSE(SPLIT($C984,""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)"),"but this is a cheap")</f>
        <v>but this is a cheap</v>
      </c>
      <c r="E984" s="39" t="str">
        <f>IFERROR(__xludf.DUMMYFUNCTION("INDEX(SPLIT($C984,"" ""), ROW()-ROW($E$956)+1)
"),"is")</f>
        <v>is</v>
      </c>
      <c r="F984" s="30" t="s">
        <v>18</v>
      </c>
      <c r="G984" s="2"/>
      <c r="H984" s="1" t="s">
        <v>0</v>
      </c>
      <c r="I984" s="2"/>
      <c r="J984" s="2"/>
      <c r="K984" s="1" t="s">
        <v>15</v>
      </c>
    </row>
    <row r="985" ht="15.75" customHeight="1">
      <c r="A985" s="1">
        <v>984.0</v>
      </c>
      <c r="B985" s="1">
        <v>24.0</v>
      </c>
      <c r="C985" s="4" t="s">
        <v>49</v>
      </c>
      <c r="D985" s="38" t="str">
        <f>IFERROR(__xludf.DUMMYFUNCTION("LET(
  words, TRANSPOSE(SPLIT($C985,""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)"),"this is a cheap way")</f>
        <v>this is a cheap way</v>
      </c>
      <c r="E985" s="39" t="str">
        <f>IFERROR(__xludf.DUMMYFUNCTION("INDEX(SPLIT($C985,"" ""), ROW()-ROW($E$956)+1)
"),"a")</f>
        <v>a</v>
      </c>
      <c r="F985" s="30" t="s">
        <v>18</v>
      </c>
      <c r="G985" s="2"/>
      <c r="H985" s="1" t="s">
        <v>0</v>
      </c>
      <c r="I985" s="2"/>
      <c r="J985" s="2"/>
      <c r="K985" s="1" t="s">
        <v>15</v>
      </c>
    </row>
    <row r="986" ht="15.75" customHeight="1">
      <c r="A986" s="1">
        <v>985.0</v>
      </c>
      <c r="B986" s="1">
        <v>24.0</v>
      </c>
      <c r="C986" s="4" t="s">
        <v>49</v>
      </c>
      <c r="D986" s="38" t="str">
        <f>IFERROR(__xludf.DUMMYFUNCTION("LET(
  words, TRANSPOSE(SPLIT($C986,""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)"),"is a cheap way to")</f>
        <v>is a cheap way to</v>
      </c>
      <c r="E986" s="39" t="str">
        <f>IFERROR(__xludf.DUMMYFUNCTION("INDEX(SPLIT($C986,"" ""), ROW()-ROW($E$956)+1)
"),"cheap")</f>
        <v>cheap</v>
      </c>
      <c r="F986" s="30" t="s">
        <v>18</v>
      </c>
      <c r="G986" s="2"/>
      <c r="H986" s="1" t="s">
        <v>0</v>
      </c>
      <c r="I986" s="2"/>
      <c r="J986" s="2"/>
      <c r="K986" s="1" t="s">
        <v>15</v>
      </c>
    </row>
    <row r="987" ht="15.75" customHeight="1">
      <c r="A987" s="1">
        <v>986.0</v>
      </c>
      <c r="B987" s="1">
        <v>24.0</v>
      </c>
      <c r="C987" s="4" t="s">
        <v>49</v>
      </c>
      <c r="D987" s="38" t="str">
        <f>IFERROR(__xludf.DUMMYFUNCTION("LET(
  words, TRANSPOSE(SPLIT($C987,""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)"),"a cheap way to do")</f>
        <v>a cheap way to do</v>
      </c>
      <c r="E987" s="39" t="str">
        <f>IFERROR(__xludf.DUMMYFUNCTION("INDEX(SPLIT($C987,"" ""), ROW()-ROW($E$956)+1)
"),"way")</f>
        <v>way</v>
      </c>
      <c r="F987" s="30" t="s">
        <v>18</v>
      </c>
      <c r="G987" s="2"/>
      <c r="H987" s="1" t="s">
        <v>0</v>
      </c>
      <c r="I987" s="2"/>
      <c r="J987" s="2"/>
      <c r="K987" s="1" t="s">
        <v>15</v>
      </c>
    </row>
    <row r="988" ht="15.75" customHeight="1">
      <c r="A988" s="1">
        <v>987.0</v>
      </c>
      <c r="B988" s="1">
        <v>24.0</v>
      </c>
      <c r="C988" s="4" t="s">
        <v>49</v>
      </c>
      <c r="D988" s="38" t="str">
        <f>IFERROR(__xludf.DUMMYFUNCTION("LET(
  words, TRANSPOSE(SPLIT($C988,""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)"),"cheap way to do it")</f>
        <v>cheap way to do it</v>
      </c>
      <c r="E988" s="39" t="str">
        <f>IFERROR(__xludf.DUMMYFUNCTION("INDEX(SPLIT($C988,"" ""), ROW()-ROW($E$956)+1)
"),"to")</f>
        <v>to</v>
      </c>
      <c r="F988" s="30" t="s">
        <v>18</v>
      </c>
      <c r="G988" s="2"/>
      <c r="H988" s="1" t="s">
        <v>0</v>
      </c>
      <c r="I988" s="2"/>
      <c r="J988" s="2"/>
      <c r="K988" s="1" t="s">
        <v>15</v>
      </c>
    </row>
    <row r="989" ht="15.75" customHeight="1">
      <c r="A989" s="1">
        <v>988.0</v>
      </c>
      <c r="B989" s="1">
        <v>24.0</v>
      </c>
      <c r="C989" s="4" t="s">
        <v>49</v>
      </c>
      <c r="D989" s="38" t="str">
        <f>IFERROR(__xludf.DUMMYFUNCTION("LET(
  words, TRANSPOSE(SPLIT($C989,""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)"),"way to do it ,")</f>
        <v>way to do it ,</v>
      </c>
      <c r="E989" s="39" t="str">
        <f>IFERROR(__xludf.DUMMYFUNCTION("INDEX(SPLIT($C989,"" ""), ROW()-ROW($E$956)+1)
"),"do")</f>
        <v>do</v>
      </c>
      <c r="F989" s="30" t="s">
        <v>18</v>
      </c>
      <c r="G989" s="2"/>
      <c r="H989" s="1" t="s">
        <v>0</v>
      </c>
      <c r="I989" s="2"/>
      <c r="J989" s="2"/>
      <c r="K989" s="1" t="s">
        <v>15</v>
      </c>
    </row>
    <row r="990" ht="15.75" customHeight="1">
      <c r="A990" s="1">
        <v>989.0</v>
      </c>
      <c r="B990" s="1">
        <v>24.0</v>
      </c>
      <c r="C990" s="4" t="s">
        <v>49</v>
      </c>
      <c r="D990" s="38" t="str">
        <f>IFERROR(__xludf.DUMMYFUNCTION("LET(
  words, TRANSPOSE(SPLIT($C990,""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)"),"to do it ,")</f>
        <v>to do it ,</v>
      </c>
      <c r="E990" s="39" t="str">
        <f>IFERROR(__xludf.DUMMYFUNCTION("INDEX(SPLIT($C990,"" ""), ROW()-ROW($E$956)+1)
"),"it")</f>
        <v>it</v>
      </c>
      <c r="F990" s="30" t="s">
        <v>18</v>
      </c>
      <c r="G990" s="2"/>
      <c r="H990" s="1" t="s">
        <v>0</v>
      </c>
      <c r="I990" s="2"/>
      <c r="J990" s="2"/>
      <c r="K990" s="1" t="s">
        <v>15</v>
      </c>
    </row>
    <row r="991" ht="15.75" customHeight="1">
      <c r="A991" s="10">
        <v>990.0</v>
      </c>
      <c r="B991" s="10">
        <v>24.0</v>
      </c>
      <c r="C991" s="7" t="s">
        <v>49</v>
      </c>
      <c r="D991" s="40" t="str">
        <f>IFERROR(__xludf.DUMMYFUNCTION("LET(
  words, TRANSPOSE(SPLIT($C991,"" "")),
  n, ROWS(words),
  i, ROW() - ROW($D$956)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)"),"do it ,")</f>
        <v>do it ,</v>
      </c>
      <c r="E991" s="41" t="str">
        <f>IFERROR(__xludf.DUMMYFUNCTION("INDEX(SPLIT($C991,"" ""), ROW()-ROW($E$956)+1)
"),",")</f>
        <v>,</v>
      </c>
      <c r="F991" s="32" t="s">
        <v>17</v>
      </c>
      <c r="G991" s="6"/>
      <c r="H991" s="10" t="s">
        <v>0</v>
      </c>
      <c r="I991" s="6"/>
      <c r="J991" s="6"/>
      <c r="K991" s="10" t="s">
        <v>15</v>
      </c>
      <c r="L991" s="6"/>
    </row>
    <row r="992" ht="15.75" customHeight="1">
      <c r="A992" s="1">
        <v>991.0</v>
      </c>
      <c r="B992" s="1">
        <v>25.0</v>
      </c>
      <c r="C992" s="4" t="s">
        <v>50</v>
      </c>
      <c r="D992" s="38" t="str">
        <f>IFERROR(__xludf.DUMMYFUNCTION("LET(
  words, TRANSPOSE(SPLIT($C992,"" "")),
  n, ROWS(words),
  i, ROW() - ROW($D$992)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)"),"hello po ma'am")</f>
        <v>hello po ma'am</v>
      </c>
      <c r="E992" s="39" t="str">
        <f>IFERROR(__xludf.DUMMYFUNCTION("INDEX(SPLIT($C992,"" ""), ROW()-ROW($E$992)+1)
"),"hello")</f>
        <v>hello</v>
      </c>
      <c r="F992" s="30" t="s">
        <v>18</v>
      </c>
      <c r="G992" s="2"/>
      <c r="H992" s="1" t="s">
        <v>0</v>
      </c>
      <c r="I992" s="2"/>
      <c r="J992" s="2"/>
      <c r="K992" s="1" t="s">
        <v>15</v>
      </c>
    </row>
    <row r="993" ht="15.75" customHeight="1">
      <c r="A993" s="1">
        <v>992.0</v>
      </c>
      <c r="B993" s="1">
        <v>25.0</v>
      </c>
      <c r="C993" s="4" t="s">
        <v>50</v>
      </c>
      <c r="D993" s="38" t="str">
        <f>IFERROR(__xludf.DUMMYFUNCTION("LET(
  words, TRANSPOSE(SPLIT($C993,"" "")),
  n, ROWS(words),
  i, ROW() - ROW($D$992)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)"),"hello po ma'am @")</f>
        <v>hello po ma'am @</v>
      </c>
      <c r="E993" s="39" t="str">
        <f>IFERROR(__xludf.DUMMYFUNCTION("INDEX(SPLIT($C993,"" ""), ROW()-ROW($E$992)+1)
"),"po")</f>
        <v>po</v>
      </c>
      <c r="F993" s="30" t="s">
        <v>16</v>
      </c>
      <c r="G993" s="2"/>
      <c r="H993" s="1" t="s">
        <v>0</v>
      </c>
      <c r="I993" s="2"/>
      <c r="J993" s="2"/>
      <c r="K993" s="1" t="s">
        <v>15</v>
      </c>
    </row>
    <row r="994" ht="15.75" customHeight="1">
      <c r="A994" s="1">
        <v>993.0</v>
      </c>
      <c r="B994" s="1">
        <v>25.0</v>
      </c>
      <c r="C994" s="4" t="s">
        <v>50</v>
      </c>
      <c r="D994" s="38" t="str">
        <f>IFERROR(__xludf.DUMMYFUNCTION("LET(
  words, TRANSPOSE(SPLIT($C994,"" "")),
  n, ROWS(words),
  i, ROW() - ROW($D$992)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)"),"hello po ma'am @ Jhen")</f>
        <v>hello po ma'am @ Jhen</v>
      </c>
      <c r="E994" s="39" t="str">
        <f>IFERROR(__xludf.DUMMYFUNCTION("INDEX(SPLIT($C994,"" ""), ROW()-ROW($E$992)+1)
"),"ma'am")</f>
        <v>ma'am</v>
      </c>
      <c r="F994" s="30" t="s">
        <v>18</v>
      </c>
      <c r="G994" s="2"/>
      <c r="H994" s="1" t="s">
        <v>0</v>
      </c>
      <c r="I994" s="2"/>
      <c r="J994" s="2"/>
      <c r="K994" s="1" t="s">
        <v>15</v>
      </c>
    </row>
    <row r="995" ht="15.75" customHeight="1">
      <c r="A995" s="1">
        <v>994.0</v>
      </c>
      <c r="B995" s="1">
        <v>25.0</v>
      </c>
      <c r="C995" s="4" t="s">
        <v>50</v>
      </c>
      <c r="D995" s="38" t="str">
        <f>IFERROR(__xludf.DUMMYFUNCTION("LET(
  words, TRANSPOSE(SPLIT($C995,"" "")),
  n, ROWS(words),
  i, ROW() - ROW($D$992)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)"),"po ma'am @ Jhen ,")</f>
        <v>po ma'am @ Jhen ,</v>
      </c>
      <c r="E995" s="39" t="str">
        <f>IFERROR(__xludf.DUMMYFUNCTION("INDEX(SPLIT($C995,"" ""), ROW()-ROW($E$992)+1)
"),"@")</f>
        <v>@</v>
      </c>
      <c r="F995" s="30" t="s">
        <v>17</v>
      </c>
      <c r="G995" s="2"/>
      <c r="H995" s="1" t="s">
        <v>0</v>
      </c>
      <c r="I995" s="2"/>
      <c r="J995" s="2"/>
      <c r="K995" s="1" t="s">
        <v>15</v>
      </c>
    </row>
    <row r="996" ht="15.75" customHeight="1">
      <c r="A996" s="1">
        <v>995.0</v>
      </c>
      <c r="B996" s="1">
        <v>25.0</v>
      </c>
      <c r="C996" s="4" t="s">
        <v>50</v>
      </c>
      <c r="D996" s="38" t="str">
        <f>IFERROR(__xludf.DUMMYFUNCTION("LET(
  words, TRANSPOSE(SPLIT($C996,"" "")),
  n, ROWS(words),
  i, ROW() - ROW($D$992)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)"),"ma'am @ Jhen , ito")</f>
        <v>ma'am @ Jhen , ito</v>
      </c>
      <c r="E996" s="39" t="str">
        <f>IFERROR(__xludf.DUMMYFUNCTION("INDEX(SPLIT($C996,"" ""), ROW()-ROW($E$992)+1)
"),"Jhen")</f>
        <v>Jhen</v>
      </c>
      <c r="F996" s="30" t="s">
        <v>13</v>
      </c>
      <c r="G996" s="1" t="s">
        <v>28</v>
      </c>
      <c r="H996" s="1" t="s">
        <v>0</v>
      </c>
      <c r="I996" s="2"/>
      <c r="J996" s="2"/>
      <c r="K996" s="1" t="s">
        <v>15</v>
      </c>
    </row>
    <row r="997" ht="15.75" customHeight="1">
      <c r="A997" s="1">
        <v>996.0</v>
      </c>
      <c r="B997" s="1">
        <v>25.0</v>
      </c>
      <c r="C997" s="4" t="s">
        <v>50</v>
      </c>
      <c r="D997" s="38" t="str">
        <f>IFERROR(__xludf.DUMMYFUNCTION("LET(
  words, TRANSPOSE(SPLIT($C997,"" "")),
  n, ROWS(words),
  i, ROW() - ROW($D$992)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)"),"@ Jhen , ito po")</f>
        <v>@ Jhen , ito po</v>
      </c>
      <c r="E997" s="39" t="str">
        <f>IFERROR(__xludf.DUMMYFUNCTION("INDEX(SPLIT($C997,"" ""), ROW()-ROW($E$992)+1)
"),",")</f>
        <v>,</v>
      </c>
      <c r="F997" s="30" t="s">
        <v>17</v>
      </c>
      <c r="G997" s="2"/>
      <c r="H997" s="1" t="s">
        <v>0</v>
      </c>
      <c r="I997" s="2"/>
      <c r="J997" s="2"/>
      <c r="K997" s="1" t="s">
        <v>15</v>
      </c>
    </row>
    <row r="998" ht="15.75" customHeight="1">
      <c r="A998" s="1">
        <v>997.0</v>
      </c>
      <c r="B998" s="1">
        <v>25.0</v>
      </c>
      <c r="C998" s="4" t="s">
        <v>50</v>
      </c>
      <c r="D998" s="38" t="str">
        <f>IFERROR(__xludf.DUMMYFUNCTION("LET(
  words, TRANSPOSE(SPLIT($C998,"" "")),
  n, ROWS(words),
  i, ROW() - ROW($D$992)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)"),"Jhen , ito po excel")</f>
        <v>Jhen , ito po excel</v>
      </c>
      <c r="E998" s="39" t="str">
        <f>IFERROR(__xludf.DUMMYFUNCTION("INDEX(SPLIT($C998,"" ""), ROW()-ROW($E$992)+1)
"),"ito")</f>
        <v>ito</v>
      </c>
      <c r="F998" s="30" t="s">
        <v>16</v>
      </c>
      <c r="G998" s="2"/>
      <c r="H998" s="1" t="s">
        <v>0</v>
      </c>
      <c r="I998" s="2"/>
      <c r="J998" s="2"/>
      <c r="K998" s="1" t="s">
        <v>15</v>
      </c>
    </row>
    <row r="999" ht="15.75" customHeight="1">
      <c r="A999" s="1">
        <v>998.0</v>
      </c>
      <c r="B999" s="1">
        <v>25.0</v>
      </c>
      <c r="C999" s="4" t="s">
        <v>50</v>
      </c>
      <c r="D999" s="38" t="str">
        <f>IFERROR(__xludf.DUMMYFUNCTION("LET(
  words, TRANSPOSE(SPLIT($C999,"" "")),
  n, ROWS(words),
  i, ROW() - ROW($D$992) + 1,
  window, 5,
  minWin, 3,
  half, INT(window/2),
  start, MAX(1, i - half),
  stop, MIN(n, i + half),
  size, stop - start + 1,
  adjHalf, IF(size &lt; minWin, INT(("&amp;"minWin - size)/2), 0),
  newStart, MAX(1, start - adjHalf),
  newStop, MIN(n, stop + adjHalf),
  positions, SEQUENCE(n),
  wordSlice, FILTER(words, (positions&gt;=newStart)*(positions&lt;=newStop)),
  TEXTJOIN("" "", TRUE, wordSlice)
)"),", ito po excel sheet")</f>
        <v>, ito po excel sheet</v>
      </c>
      <c r="E999" s="39" t="str">
        <f>IFERROR(__xludf.DUMMYFUNCTION("INDEX(SPLIT($C999,"" ""), ROW()-ROW($E$992)+1)
"),"po")</f>
        <v>po</v>
      </c>
      <c r="F999" s="30" t="s">
        <v>16</v>
      </c>
      <c r="G999" s="2"/>
      <c r="H999" s="1" t="s">
        <v>0</v>
      </c>
      <c r="I999" s="2"/>
      <c r="J999" s="2"/>
      <c r="K999" s="1" t="s">
        <v>15</v>
      </c>
    </row>
    <row r="1000" ht="15.75" customHeight="1">
      <c r="A1000" s="1">
        <v>999.0</v>
      </c>
      <c r="B1000" s="1">
        <v>25.0</v>
      </c>
      <c r="C1000" s="4" t="s">
        <v>50</v>
      </c>
      <c r="D1000" s="38" t="str">
        <f>IFERROR(__xludf.DUMMYFUNCTION("LET(
  words, TRANSPOSE(SPLIT($C1000,""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)"),"ito po excel sheet ng")</f>
        <v>ito po excel sheet ng</v>
      </c>
      <c r="E1000" s="39" t="str">
        <f>IFERROR(__xludf.DUMMYFUNCTION("INDEX(SPLIT($C1000,"" ""), ROW()-ROW($E$992)+1)
"),"excel")</f>
        <v>excel</v>
      </c>
      <c r="F1000" s="30" t="s">
        <v>18</v>
      </c>
      <c r="G1000" s="2"/>
      <c r="H1000" s="1" t="s">
        <v>0</v>
      </c>
      <c r="I1000" s="2"/>
      <c r="J1000" s="2"/>
      <c r="K1000" s="1" t="s">
        <v>15</v>
      </c>
    </row>
    <row r="1001" ht="15.75" customHeight="1">
      <c r="A1001" s="1">
        <v>1000.0</v>
      </c>
      <c r="B1001" s="1">
        <v>25.0</v>
      </c>
      <c r="C1001" s="4" t="s">
        <v>50</v>
      </c>
      <c r="D1001" s="38" t="str">
        <f>IFERROR(__xludf.DUMMYFUNCTION("LET(
  words, TRANSPOSE(SPLIT($C1001,""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)"),"po excel sheet ng LRN")</f>
        <v>po excel sheet ng LRN</v>
      </c>
      <c r="E1001" s="39" t="str">
        <f>IFERROR(__xludf.DUMMYFUNCTION("INDEX(SPLIT($C1001,"" ""), ROW()-ROW($E$992)+1)
"),"sheet")</f>
        <v>sheet</v>
      </c>
      <c r="F1001" s="30" t="s">
        <v>18</v>
      </c>
      <c r="G1001" s="2"/>
      <c r="H1001" s="1" t="s">
        <v>0</v>
      </c>
      <c r="I1001" s="2"/>
      <c r="J1001" s="2"/>
      <c r="K1001" s="1" t="s">
        <v>15</v>
      </c>
    </row>
    <row r="1002" ht="15.75" customHeight="1">
      <c r="A1002" s="1">
        <v>1001.0</v>
      </c>
      <c r="B1002" s="1">
        <v>25.0</v>
      </c>
      <c r="C1002" s="4" t="s">
        <v>50</v>
      </c>
      <c r="D1002" s="38" t="str">
        <f>IFERROR(__xludf.DUMMYFUNCTION("LET(
  words, TRANSPOSE(SPLIT($C1002,""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)"),"excel sheet ng LRN information")</f>
        <v>excel sheet ng LRN information</v>
      </c>
      <c r="E1002" s="39" t="str">
        <f>IFERROR(__xludf.DUMMYFUNCTION("INDEX(SPLIT($C1002,"" ""), ROW()-ROW($E$992)+1)
"),"ng")</f>
        <v>ng</v>
      </c>
      <c r="F1002" s="30" t="s">
        <v>16</v>
      </c>
      <c r="G1002" s="2"/>
      <c r="H1002" s="1" t="s">
        <v>0</v>
      </c>
      <c r="I1002" s="2"/>
      <c r="J1002" s="2"/>
      <c r="K1002" s="1" t="s">
        <v>15</v>
      </c>
    </row>
    <row r="1003" ht="15.75" customHeight="1">
      <c r="A1003" s="1">
        <v>1002.0</v>
      </c>
      <c r="B1003" s="1">
        <v>25.0</v>
      </c>
      <c r="C1003" s="4" t="s">
        <v>50</v>
      </c>
      <c r="D1003" s="38" t="str">
        <f>IFERROR(__xludf.DUMMYFUNCTION("LET(
  words, TRANSPOSE(SPLIT($C1003,""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)"),"sheet ng LRN information .")</f>
        <v>sheet ng LRN information .</v>
      </c>
      <c r="E1003" s="39" t="str">
        <f>IFERROR(__xludf.DUMMYFUNCTION("INDEX(SPLIT($C1003,"" ""), ROW()-ROW($E$992)+1)
"),"LRN")</f>
        <v>LRN</v>
      </c>
      <c r="F1003" s="30" t="s">
        <v>18</v>
      </c>
      <c r="G1003" s="1" t="s">
        <v>31</v>
      </c>
      <c r="H1003" s="1" t="s">
        <v>0</v>
      </c>
      <c r="I1003" s="2"/>
      <c r="J1003" s="2"/>
      <c r="K1003" s="1" t="s">
        <v>15</v>
      </c>
    </row>
    <row r="1004" ht="15.75" customHeight="1">
      <c r="A1004" s="1">
        <v>1003.0</v>
      </c>
      <c r="B1004" s="1">
        <v>25.0</v>
      </c>
      <c r="C1004" s="4" t="s">
        <v>50</v>
      </c>
      <c r="D1004" s="38" t="str">
        <f>IFERROR(__xludf.DUMMYFUNCTION("LET(
  words, TRANSPOSE(SPLIT($C1004,""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)"),"ng LRN information . sinagutan")</f>
        <v>ng LRN information . sinagutan</v>
      </c>
      <c r="E1004" s="39" t="str">
        <f>IFERROR(__xludf.DUMMYFUNCTION("INDEX(SPLIT($C1004,"" ""), ROW()-ROW($E$992)+1)
"),"information")</f>
        <v>information</v>
      </c>
      <c r="F1004" s="30" t="s">
        <v>18</v>
      </c>
      <c r="G1004" s="2"/>
      <c r="H1004" s="1" t="s">
        <v>0</v>
      </c>
      <c r="I1004" s="2"/>
      <c r="J1004" s="2"/>
      <c r="K1004" s="1" t="s">
        <v>15</v>
      </c>
    </row>
    <row r="1005" ht="15.75" customHeight="1">
      <c r="A1005" s="1">
        <v>1004.0</v>
      </c>
      <c r="B1005" s="1">
        <v>25.0</v>
      </c>
      <c r="C1005" s="4" t="s">
        <v>50</v>
      </c>
      <c r="D1005" s="38" t="str">
        <f>IFERROR(__xludf.DUMMYFUNCTION("LET(
  words, TRANSPOSE(SPLIT($C1005,""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)"),"LRN information . sinagutan din")</f>
        <v>LRN information . sinagutan din</v>
      </c>
      <c r="E1005" s="39" t="str">
        <f>IFERROR(__xludf.DUMMYFUNCTION("INDEX(SPLIT($C1005,"" ""), ROW()-ROW($E$992)+1)
"),".")</f>
        <v>.</v>
      </c>
      <c r="F1005" s="30" t="s">
        <v>17</v>
      </c>
      <c r="G1005" s="2"/>
      <c r="H1005" s="1" t="s">
        <v>0</v>
      </c>
      <c r="I1005" s="2"/>
      <c r="J1005" s="2"/>
      <c r="K1005" s="1" t="s">
        <v>15</v>
      </c>
    </row>
    <row r="1006" ht="15.75" customHeight="1">
      <c r="A1006" s="1">
        <v>1005.0</v>
      </c>
      <c r="B1006" s="1">
        <v>25.0</v>
      </c>
      <c r="C1006" s="4" t="s">
        <v>50</v>
      </c>
      <c r="D1006" s="38" t="str">
        <f>IFERROR(__xludf.DUMMYFUNCTION("LET(
  words, TRANSPOSE(SPLIT($C1006,""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)"),"information . sinagutan din po")</f>
        <v>information . sinagutan din po</v>
      </c>
      <c r="E1006" s="39" t="str">
        <f>IFERROR(__xludf.DUMMYFUNCTION("INDEX(SPLIT($C1006,"" ""), ROW()-ROW($E$992)+1)
"),"sinagutan")</f>
        <v>sinagutan</v>
      </c>
      <c r="F1006" s="30" t="s">
        <v>16</v>
      </c>
      <c r="G1006" s="2"/>
      <c r="H1006" s="1" t="s">
        <v>0</v>
      </c>
      <c r="I1006" s="2"/>
      <c r="J1006" s="2"/>
      <c r="K1006" s="1" t="s">
        <v>15</v>
      </c>
    </row>
    <row r="1007" ht="15.75" customHeight="1">
      <c r="A1007" s="1">
        <v>1006.0</v>
      </c>
      <c r="B1007" s="1">
        <v>25.0</v>
      </c>
      <c r="C1007" s="4" t="s">
        <v>50</v>
      </c>
      <c r="D1007" s="38" t="str">
        <f>IFERROR(__xludf.DUMMYFUNCTION("LET(
  words, TRANSPOSE(SPLIT($C1007,""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)"),". sinagutan din po ulit")</f>
        <v>. sinagutan din po ulit</v>
      </c>
      <c r="E1007" s="39" t="str">
        <f>IFERROR(__xludf.DUMMYFUNCTION("INDEX(SPLIT($C1007,"" ""), ROW()-ROW($E$992)+1)
"),"din")</f>
        <v>din</v>
      </c>
      <c r="F1007" s="30" t="s">
        <v>16</v>
      </c>
      <c r="G1007" s="2"/>
      <c r="H1007" s="1" t="s">
        <v>0</v>
      </c>
      <c r="I1007" s="2"/>
      <c r="J1007" s="2"/>
      <c r="K1007" s="1" t="s">
        <v>15</v>
      </c>
    </row>
    <row r="1008" ht="15.75" customHeight="1">
      <c r="A1008" s="1">
        <v>1007.0</v>
      </c>
      <c r="B1008" s="1">
        <v>25.0</v>
      </c>
      <c r="C1008" s="4" t="s">
        <v>50</v>
      </c>
      <c r="D1008" s="38" t="str">
        <f>IFERROR(__xludf.DUMMYFUNCTION("LET(
  words, TRANSPOSE(SPLIT($C1008,""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)"),"sinagutan din po ulit namin")</f>
        <v>sinagutan din po ulit namin</v>
      </c>
      <c r="E1008" s="39" t="str">
        <f>IFERROR(__xludf.DUMMYFUNCTION("INDEX(SPLIT($C1008,"" ""), ROW()-ROW($E$992)+1)
"),"po")</f>
        <v>po</v>
      </c>
      <c r="F1008" s="30" t="s">
        <v>16</v>
      </c>
      <c r="G1008" s="2"/>
      <c r="H1008" s="1" t="s">
        <v>0</v>
      </c>
      <c r="I1008" s="2"/>
      <c r="J1008" s="2"/>
      <c r="K1008" s="1" t="s">
        <v>15</v>
      </c>
    </row>
    <row r="1009" ht="15.75" customHeight="1">
      <c r="A1009" s="1">
        <v>1008.0</v>
      </c>
      <c r="B1009" s="1">
        <v>25.0</v>
      </c>
      <c r="C1009" s="4" t="s">
        <v>50</v>
      </c>
      <c r="D1009" s="38" t="str">
        <f>IFERROR(__xludf.DUMMYFUNCTION("LET(
  words, TRANSPOSE(SPLIT($C1009,""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)"),"din po ulit namin yung")</f>
        <v>din po ulit namin yung</v>
      </c>
      <c r="E1009" s="39" t="str">
        <f>IFERROR(__xludf.DUMMYFUNCTION("INDEX(SPLIT($C1009,"" ""), ROW()-ROW($E$992)+1)
"),"ulit")</f>
        <v>ulit</v>
      </c>
      <c r="F1009" s="30" t="s">
        <v>16</v>
      </c>
      <c r="G1009" s="2"/>
      <c r="H1009" s="1" t="s">
        <v>0</v>
      </c>
      <c r="I1009" s="2"/>
      <c r="J1009" s="2"/>
      <c r="K1009" s="1" t="s">
        <v>15</v>
      </c>
    </row>
    <row r="1010" ht="15.75" customHeight="1">
      <c r="A1010" s="1">
        <v>1009.0</v>
      </c>
      <c r="B1010" s="1">
        <v>25.0</v>
      </c>
      <c r="C1010" s="4" t="s">
        <v>50</v>
      </c>
      <c r="D1010" s="38" t="str">
        <f>IFERROR(__xludf.DUMMYFUNCTION("LET(
  words, TRANSPOSE(SPLIT($C1010,""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)"),"po ulit namin yung gforms")</f>
        <v>po ulit namin yung gforms</v>
      </c>
      <c r="E1010" s="39" t="str">
        <f>IFERROR(__xludf.DUMMYFUNCTION("INDEX(SPLIT($C1010,"" ""), ROW()-ROW($E$992)+1)
"),"namin")</f>
        <v>namin</v>
      </c>
      <c r="F1010" s="30" t="s">
        <v>16</v>
      </c>
      <c r="G1010" s="2"/>
      <c r="H1010" s="1" t="s">
        <v>0</v>
      </c>
      <c r="I1010" s="2"/>
      <c r="J1010" s="2"/>
      <c r="K1010" s="1" t="s">
        <v>15</v>
      </c>
    </row>
    <row r="1011" ht="15.75" customHeight="1">
      <c r="A1011" s="1">
        <v>1010.0</v>
      </c>
      <c r="B1011" s="1">
        <v>25.0</v>
      </c>
      <c r="C1011" s="4" t="s">
        <v>50</v>
      </c>
      <c r="D1011" s="38" t="str">
        <f>IFERROR(__xludf.DUMMYFUNCTION("LET(
  words, TRANSPOSE(SPLIT($C1011,""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)"),"ulit namin yung gforms po")</f>
        <v>ulit namin yung gforms po</v>
      </c>
      <c r="E1011" s="39" t="str">
        <f>IFERROR(__xludf.DUMMYFUNCTION("INDEX(SPLIT($C1011,"" ""), ROW()-ROW($E$992)+1)
"),"yung")</f>
        <v>yung</v>
      </c>
      <c r="F1011" s="30" t="s">
        <v>16</v>
      </c>
      <c r="G1011" s="2"/>
      <c r="H1011" s="1" t="s">
        <v>0</v>
      </c>
      <c r="I1011" s="2"/>
      <c r="J1011" s="2"/>
      <c r="K1011" s="1" t="s">
        <v>15</v>
      </c>
    </row>
    <row r="1012" ht="15.75" customHeight="1">
      <c r="A1012" s="1">
        <v>1011.0</v>
      </c>
      <c r="B1012" s="1">
        <v>25.0</v>
      </c>
      <c r="C1012" s="4" t="s">
        <v>50</v>
      </c>
      <c r="D1012" s="38" t="str">
        <f>IFERROR(__xludf.DUMMYFUNCTION("LET(
  words, TRANSPOSE(SPLIT($C1012,""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)"),"namin yung gforms po dati")</f>
        <v>namin yung gforms po dati</v>
      </c>
      <c r="E1012" s="39" t="str">
        <f>IFERROR(__xludf.DUMMYFUNCTION("INDEX(SPLIT($C1012,"" ""), ROW()-ROW($E$992)+1)
"),"gforms")</f>
        <v>gforms</v>
      </c>
      <c r="F1012" s="30" t="s">
        <v>18</v>
      </c>
      <c r="G1012" s="1" t="s">
        <v>31</v>
      </c>
      <c r="H1012" s="1" t="s">
        <v>0</v>
      </c>
      <c r="I1012" s="2"/>
      <c r="J1012" s="2"/>
      <c r="K1012" s="1" t="s">
        <v>15</v>
      </c>
    </row>
    <row r="1013" ht="15.75" customHeight="1">
      <c r="A1013" s="1">
        <v>1012.0</v>
      </c>
      <c r="B1013" s="1">
        <v>25.0</v>
      </c>
      <c r="C1013" s="4" t="s">
        <v>50</v>
      </c>
      <c r="D1013" s="38" t="str">
        <f>IFERROR(__xludf.DUMMYFUNCTION("LET(
  words, TRANSPOSE(SPLIT($C1013,""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)"),"yung gforms po dati para")</f>
        <v>yung gforms po dati para</v>
      </c>
      <c r="E1013" s="39" t="str">
        <f>IFERROR(__xludf.DUMMYFUNCTION("INDEX(SPLIT($C1013,"" ""), ROW()-ROW($E$992)+1)
"),"po")</f>
        <v>po</v>
      </c>
      <c r="F1013" s="30" t="s">
        <v>16</v>
      </c>
      <c r="G1013" s="2"/>
      <c r="H1013" s="1" t="s">
        <v>0</v>
      </c>
      <c r="I1013" s="2"/>
      <c r="J1013" s="2"/>
      <c r="K1013" s="1" t="s">
        <v>15</v>
      </c>
    </row>
    <row r="1014" ht="15.75" customHeight="1">
      <c r="A1014" s="1">
        <v>1013.0</v>
      </c>
      <c r="B1014" s="1">
        <v>25.0</v>
      </c>
      <c r="C1014" s="4" t="s">
        <v>50</v>
      </c>
      <c r="D1014" s="38" t="str">
        <f>IFERROR(__xludf.DUMMYFUNCTION("LET(
  words, TRANSPOSE(SPLIT($C1014,""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)"),"gforms po dati para po")</f>
        <v>gforms po dati para po</v>
      </c>
      <c r="E1014" s="39" t="str">
        <f>IFERROR(__xludf.DUMMYFUNCTION("INDEX(SPLIT($C1014,"" ""), ROW()-ROW($E$992)+1)
"),"dati")</f>
        <v>dati</v>
      </c>
      <c r="F1014" s="30" t="s">
        <v>16</v>
      </c>
      <c r="G1014" s="2"/>
      <c r="H1014" s="1" t="s">
        <v>0</v>
      </c>
      <c r="I1014" s="2"/>
      <c r="J1014" s="2"/>
      <c r="K1014" s="1" t="s">
        <v>15</v>
      </c>
    </row>
    <row r="1015" ht="15.75" customHeight="1">
      <c r="A1015" s="1">
        <v>1014.0</v>
      </c>
      <c r="B1015" s="1">
        <v>25.0</v>
      </c>
      <c r="C1015" s="4" t="s">
        <v>50</v>
      </c>
      <c r="D1015" s="38" t="str">
        <f>IFERROR(__xludf.DUMMYFUNCTION("LET(
  words, TRANSPOSE(SPLIT($C1015,""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)"),"po dati para po sure")</f>
        <v>po dati para po sure</v>
      </c>
      <c r="E1015" s="39" t="str">
        <f>IFERROR(__xludf.DUMMYFUNCTION("INDEX(SPLIT($C1015,"" ""), ROW()-ROW($E$992)+1)
"),"para")</f>
        <v>para</v>
      </c>
      <c r="F1015" s="30" t="s">
        <v>16</v>
      </c>
      <c r="G1015" s="2"/>
      <c r="H1015" s="1" t="s">
        <v>0</v>
      </c>
      <c r="I1015" s="2"/>
      <c r="J1015" s="2"/>
      <c r="K1015" s="1" t="s">
        <v>15</v>
      </c>
    </row>
    <row r="1016" ht="15.75" customHeight="1">
      <c r="A1016" s="1">
        <v>1015.0</v>
      </c>
      <c r="B1016" s="1">
        <v>25.0</v>
      </c>
      <c r="C1016" s="4" t="s">
        <v>50</v>
      </c>
      <c r="D1016" s="38" t="str">
        <f>IFERROR(__xludf.DUMMYFUNCTION("LET(
  words, TRANSPOSE(SPLIT($C1016,""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)"),"dati para po sure .")</f>
        <v>dati para po sure .</v>
      </c>
      <c r="E1016" s="39" t="str">
        <f>IFERROR(__xludf.DUMMYFUNCTION("INDEX(SPLIT($C1016,"" ""), ROW()-ROW($E$992)+1)
"),"po")</f>
        <v>po</v>
      </c>
      <c r="F1016" s="30" t="s">
        <v>16</v>
      </c>
      <c r="G1016" s="2"/>
      <c r="H1016" s="1" t="s">
        <v>0</v>
      </c>
      <c r="I1016" s="2"/>
      <c r="J1016" s="2"/>
      <c r="K1016" s="1" t="s">
        <v>15</v>
      </c>
    </row>
    <row r="1017" ht="15.75" customHeight="1">
      <c r="A1017" s="1">
        <v>1016.0</v>
      </c>
      <c r="B1017" s="1">
        <v>25.0</v>
      </c>
      <c r="C1017" s="4" t="s">
        <v>50</v>
      </c>
      <c r="D1017" s="38" t="str">
        <f>IFERROR(__xludf.DUMMYFUNCTION("LET(
  words, TRANSPOSE(SPLIT($C1017,""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)"),"para po sure . thank")</f>
        <v>para po sure . thank</v>
      </c>
      <c r="E1017" s="39" t="str">
        <f>IFERROR(__xludf.DUMMYFUNCTION("INDEX(SPLIT($C1017,"" ""), ROW()-ROW($E$992)+1)
"),"sure")</f>
        <v>sure</v>
      </c>
      <c r="F1017" s="30" t="s">
        <v>18</v>
      </c>
      <c r="G1017" s="2"/>
      <c r="H1017" s="1" t="s">
        <v>0</v>
      </c>
      <c r="I1017" s="2"/>
      <c r="J1017" s="2"/>
      <c r="K1017" s="1" t="s">
        <v>15</v>
      </c>
    </row>
    <row r="1018" ht="15.75" customHeight="1">
      <c r="A1018" s="1">
        <v>1017.0</v>
      </c>
      <c r="B1018" s="1">
        <v>25.0</v>
      </c>
      <c r="C1018" s="4" t="s">
        <v>50</v>
      </c>
      <c r="D1018" s="38" t="str">
        <f>IFERROR(__xludf.DUMMYFUNCTION("LET(
  words, TRANSPOSE(SPLIT($C1018,""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)"),"po sure . thank you")</f>
        <v>po sure . thank you</v>
      </c>
      <c r="E1018" s="39" t="str">
        <f>IFERROR(__xludf.DUMMYFUNCTION("INDEX(SPLIT($C1018,"" ""), ROW()-ROW($E$992)+1)
"),".")</f>
        <v>.</v>
      </c>
      <c r="F1018" s="30" t="s">
        <v>17</v>
      </c>
      <c r="G1018" s="2"/>
      <c r="H1018" s="1" t="s">
        <v>0</v>
      </c>
      <c r="I1018" s="2"/>
      <c r="J1018" s="2"/>
      <c r="K1018" s="1" t="s">
        <v>15</v>
      </c>
    </row>
    <row r="1019" ht="15.75" customHeight="1">
      <c r="A1019" s="1">
        <v>1018.0</v>
      </c>
      <c r="B1019" s="1">
        <v>25.0</v>
      </c>
      <c r="C1019" s="4" t="s">
        <v>50</v>
      </c>
      <c r="D1019" s="38" t="str">
        <f>IFERROR(__xludf.DUMMYFUNCTION("LET(
  words, TRANSPOSE(SPLIT($C1019,""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)"),"sure . thank you po")</f>
        <v>sure . thank you po</v>
      </c>
      <c r="E1019" s="39" t="str">
        <f>IFERROR(__xludf.DUMMYFUNCTION("INDEX(SPLIT($C1019,"" ""), ROW()-ROW($E$992)+1)
"),"thank")</f>
        <v>thank</v>
      </c>
      <c r="F1019" s="30" t="s">
        <v>18</v>
      </c>
      <c r="G1019" s="2"/>
      <c r="H1019" s="1" t="s">
        <v>0</v>
      </c>
      <c r="I1019" s="2"/>
      <c r="J1019" s="2"/>
      <c r="K1019" s="1" t="s">
        <v>15</v>
      </c>
    </row>
    <row r="1020" ht="15.75" customHeight="1">
      <c r="A1020" s="1">
        <v>1019.0</v>
      </c>
      <c r="B1020" s="1">
        <v>25.0</v>
      </c>
      <c r="C1020" s="4" t="s">
        <v>50</v>
      </c>
      <c r="D1020" s="38" t="str">
        <f>IFERROR(__xludf.DUMMYFUNCTION("LET(
  words, TRANSPOSE(SPLIT($C1020,""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)"),". thank you po !")</f>
        <v>. thank you po !</v>
      </c>
      <c r="E1020" s="39" t="str">
        <f>IFERROR(__xludf.DUMMYFUNCTION("INDEX(SPLIT($C1020,"" ""), ROW()-ROW($E$992)+1)
"),"you")</f>
        <v>you</v>
      </c>
      <c r="F1020" s="30" t="s">
        <v>18</v>
      </c>
      <c r="G1020" s="2"/>
      <c r="H1020" s="1" t="s">
        <v>0</v>
      </c>
      <c r="I1020" s="2"/>
      <c r="J1020" s="2"/>
      <c r="K1020" s="1" t="s">
        <v>15</v>
      </c>
    </row>
    <row r="1021" ht="15.75" customHeight="1">
      <c r="A1021" s="1">
        <v>1020.0</v>
      </c>
      <c r="B1021" s="1">
        <v>25.0</v>
      </c>
      <c r="C1021" s="4" t="s">
        <v>50</v>
      </c>
      <c r="D1021" s="38" t="str">
        <f>IFERROR(__xludf.DUMMYFUNCTION("LET(
  words, TRANSPOSE(SPLIT($C1021,""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)"),"thank you po !")</f>
        <v>thank you po !</v>
      </c>
      <c r="E1021" s="39" t="str">
        <f>IFERROR(__xludf.DUMMYFUNCTION("INDEX(SPLIT($C1021,"" ""), ROW()-ROW($E$992)+1)
"),"po")</f>
        <v>po</v>
      </c>
      <c r="F1021" s="30" t="s">
        <v>16</v>
      </c>
      <c r="G1021" s="2"/>
      <c r="H1021" s="1" t="s">
        <v>0</v>
      </c>
      <c r="I1021" s="2"/>
      <c r="J1021" s="2"/>
      <c r="K1021" s="1" t="s">
        <v>15</v>
      </c>
    </row>
    <row r="1022" ht="15.75" customHeight="1">
      <c r="A1022" s="10">
        <v>1021.0</v>
      </c>
      <c r="B1022" s="10">
        <v>25.0</v>
      </c>
      <c r="C1022" s="7" t="s">
        <v>50</v>
      </c>
      <c r="D1022" s="40" t="str">
        <f>IFERROR(__xludf.DUMMYFUNCTION("LET(
  words, TRANSPOSE(SPLIT($C1022,"" "")),
  n, ROWS(words),
  i, ROW() - ROW($D$992) + 1,
  window, 5,
  minWin, 3,
  half, INT(window/2),
  start, MAX(1, i - half),
  stop, MIN(n, i + half),
  size, stop - start + 1,
  adjHalf, IF(size &lt; minWin, INT("&amp;"(minWin - size)/2), 0),
  newStart, MAX(1, start - adjHalf),
  newStop, MIN(n, stop + adjHalf),
  positions, SEQUENCE(n),
  wordSlice, FILTER(words, (positions&gt;=newStart)*(positions&lt;=newStop)),
  TEXTJOIN("" "", TRUE, wordSlice)
)"),"you po !")</f>
        <v>you po !</v>
      </c>
      <c r="E1022" s="41" t="str">
        <f>IFERROR(__xludf.DUMMYFUNCTION("INDEX(SPLIT($C1022,"" ""), ROW()-ROW($E$992)+1)
"),"!")</f>
        <v>!</v>
      </c>
      <c r="F1022" s="32" t="s">
        <v>17</v>
      </c>
      <c r="G1022" s="6"/>
      <c r="H1022" s="10" t="s">
        <v>0</v>
      </c>
      <c r="I1022" s="6"/>
      <c r="J1022" s="6"/>
      <c r="K1022" s="10" t="s">
        <v>15</v>
      </c>
      <c r="L1022" s="6"/>
    </row>
    <row r="1023" ht="15.75" customHeight="1">
      <c r="A1023" s="1">
        <v>1022.0</v>
      </c>
      <c r="B1023" s="1">
        <v>26.0</v>
      </c>
      <c r="C1023" s="4" t="s">
        <v>51</v>
      </c>
      <c r="D1023" s="38" t="str">
        <f>IFERROR(__xludf.DUMMYFUNCTION("LET(
  words, TRANSPOSE(SPLIT($C1023,""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)"),"hi class !")</f>
        <v>hi class !</v>
      </c>
      <c r="E1023" s="39" t="str">
        <f>IFERROR(__xludf.DUMMYFUNCTION("INDEX(SPLIT($C1023,"" ""), ROW()-ROW($E$1023)+1)
"),"hi")</f>
        <v>hi</v>
      </c>
      <c r="F1023" s="30" t="s">
        <v>18</v>
      </c>
      <c r="G1023" s="2"/>
      <c r="H1023" s="1" t="s">
        <v>0</v>
      </c>
      <c r="I1023" s="2"/>
      <c r="J1023" s="2"/>
      <c r="K1023" s="1" t="s">
        <v>15</v>
      </c>
    </row>
    <row r="1024" ht="15.75" customHeight="1">
      <c r="A1024" s="1">
        <v>1023.0</v>
      </c>
      <c r="B1024" s="1">
        <v>26.0</v>
      </c>
      <c r="C1024" s="4" t="s">
        <v>51</v>
      </c>
      <c r="D1024" s="38" t="str">
        <f>IFERROR(__xludf.DUMMYFUNCTION("LET(
  words, TRANSPOSE(SPLIT($C1024,""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)"),"hi class ! sana")</f>
        <v>hi class ! sana</v>
      </c>
      <c r="E1024" s="39" t="str">
        <f>IFERROR(__xludf.DUMMYFUNCTION("INDEX(SPLIT($C1024,"" ""), ROW()-ROW($E$1023)+1)
"),"class")</f>
        <v>class</v>
      </c>
      <c r="F1024" s="30" t="s">
        <v>18</v>
      </c>
      <c r="G1024" s="2"/>
      <c r="H1024" s="1" t="s">
        <v>0</v>
      </c>
      <c r="I1024" s="2"/>
      <c r="J1024" s="2"/>
      <c r="K1024" s="1" t="s">
        <v>15</v>
      </c>
    </row>
    <row r="1025" ht="15.75" customHeight="1">
      <c r="A1025" s="1">
        <v>1024.0</v>
      </c>
      <c r="B1025" s="1">
        <v>26.0</v>
      </c>
      <c r="C1025" s="4" t="s">
        <v>51</v>
      </c>
      <c r="D1025" s="38" t="str">
        <f>IFERROR(__xludf.DUMMYFUNCTION("LET(
  words, TRANSPOSE(SPLIT($C1025,""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)"),"hi class ! sana nakita")</f>
        <v>hi class ! sana nakita</v>
      </c>
      <c r="E1025" s="39" t="str">
        <f>IFERROR(__xludf.DUMMYFUNCTION("INDEX(SPLIT($C1025,"" ""), ROW()-ROW($E$1023)+1)
"),"!")</f>
        <v>!</v>
      </c>
      <c r="F1025" s="30" t="s">
        <v>17</v>
      </c>
      <c r="G1025" s="2"/>
      <c r="H1025" s="1" t="s">
        <v>0</v>
      </c>
      <c r="I1025" s="2"/>
      <c r="J1025" s="2"/>
      <c r="K1025" s="1" t="s">
        <v>15</v>
      </c>
    </row>
    <row r="1026" ht="15.75" customHeight="1">
      <c r="A1026" s="1">
        <v>1025.0</v>
      </c>
      <c r="B1026" s="1">
        <v>26.0</v>
      </c>
      <c r="C1026" s="4" t="s">
        <v>51</v>
      </c>
      <c r="D1026" s="38" t="str">
        <f>IFERROR(__xludf.DUMMYFUNCTION("LET(
  words, TRANSPOSE(SPLIT($C1026,""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)"),"class ! sana nakita niyo")</f>
        <v>class ! sana nakita niyo</v>
      </c>
      <c r="E1026" s="39" t="str">
        <f>IFERROR(__xludf.DUMMYFUNCTION("INDEX(SPLIT($C1026,"" ""), ROW()-ROW($E$1023)+1)
"),"sana")</f>
        <v>sana</v>
      </c>
      <c r="F1026" s="30" t="s">
        <v>16</v>
      </c>
      <c r="G1026" s="2"/>
      <c r="H1026" s="1" t="s">
        <v>0</v>
      </c>
      <c r="I1026" s="2"/>
      <c r="J1026" s="2"/>
      <c r="K1026" s="1" t="s">
        <v>15</v>
      </c>
    </row>
    <row r="1027" ht="15.75" customHeight="1">
      <c r="A1027" s="1">
        <v>1026.0</v>
      </c>
      <c r="B1027" s="1">
        <v>26.0</v>
      </c>
      <c r="C1027" s="4" t="s">
        <v>51</v>
      </c>
      <c r="D1027" s="38" t="str">
        <f>IFERROR(__xludf.DUMMYFUNCTION("LET(
  words, TRANSPOSE(SPLIT($C1027,""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)"),"! sana nakita niyo na")</f>
        <v>! sana nakita niyo na</v>
      </c>
      <c r="E1027" s="39" t="str">
        <f>IFERROR(__xludf.DUMMYFUNCTION("INDEX(SPLIT($C1027,"" ""), ROW()-ROW($E$1023)+1)
"),"nakita")</f>
        <v>nakita</v>
      </c>
      <c r="F1027" s="30" t="s">
        <v>16</v>
      </c>
      <c r="G1027" s="2"/>
      <c r="H1027" s="1" t="s">
        <v>0</v>
      </c>
      <c r="I1027" s="2"/>
      <c r="J1027" s="2"/>
      <c r="K1027" s="1" t="s">
        <v>15</v>
      </c>
    </row>
    <row r="1028" ht="15.75" customHeight="1">
      <c r="A1028" s="1">
        <v>1027.0</v>
      </c>
      <c r="B1028" s="1">
        <v>26.0</v>
      </c>
      <c r="C1028" s="4" t="s">
        <v>51</v>
      </c>
      <c r="D1028" s="38" t="str">
        <f>IFERROR(__xludf.DUMMYFUNCTION("LET(
  words, TRANSPOSE(SPLIT($C1028,""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)"),"sana nakita niyo na lumabas")</f>
        <v>sana nakita niyo na lumabas</v>
      </c>
      <c r="E1028" s="39" t="str">
        <f>IFERROR(__xludf.DUMMYFUNCTION("INDEX(SPLIT($C1028,"" ""), ROW()-ROW($E$1023)+1)
"),"niyo")</f>
        <v>niyo</v>
      </c>
      <c r="F1028" s="30" t="s">
        <v>16</v>
      </c>
      <c r="G1028" s="2"/>
      <c r="H1028" s="1" t="s">
        <v>0</v>
      </c>
      <c r="I1028" s="2"/>
      <c r="J1028" s="2"/>
      <c r="K1028" s="1" t="s">
        <v>15</v>
      </c>
    </row>
    <row r="1029" ht="15.75" customHeight="1">
      <c r="A1029" s="1">
        <v>1028.0</v>
      </c>
      <c r="B1029" s="1">
        <v>26.0</v>
      </c>
      <c r="C1029" s="4" t="s">
        <v>51</v>
      </c>
      <c r="D1029" s="38" t="str">
        <f>IFERROR(__xludf.DUMMYFUNCTION("LET(
  words, TRANSPOSE(SPLIT($C1029,""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)"),"nakita niyo na lumabas na")</f>
        <v>nakita niyo na lumabas na</v>
      </c>
      <c r="E1029" s="39" t="str">
        <f>IFERROR(__xludf.DUMMYFUNCTION("INDEX(SPLIT($C1029,"" ""), ROW()-ROW($E$1023)+1)
"),"na")</f>
        <v>na</v>
      </c>
      <c r="F1029" s="30" t="s">
        <v>16</v>
      </c>
      <c r="G1029" s="2"/>
      <c r="H1029" s="1" t="s">
        <v>0</v>
      </c>
      <c r="I1029" s="2"/>
      <c r="J1029" s="2"/>
      <c r="K1029" s="1" t="s">
        <v>15</v>
      </c>
    </row>
    <row r="1030" ht="15.75" customHeight="1">
      <c r="A1030" s="1">
        <v>1029.0</v>
      </c>
      <c r="B1030" s="1">
        <v>26.0</v>
      </c>
      <c r="C1030" s="4" t="s">
        <v>51</v>
      </c>
      <c r="D1030" s="38" t="str">
        <f>IFERROR(__xludf.DUMMYFUNCTION("LET(
  words, TRANSPOSE(SPLIT($C1030,""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)"),"niyo na lumabas na ang")</f>
        <v>niyo na lumabas na ang</v>
      </c>
      <c r="E1030" s="39" t="str">
        <f>IFERROR(__xludf.DUMMYFUNCTION("INDEX(SPLIT($C1030,"" ""), ROW()-ROW($E$1023)+1)
"),"lumabas")</f>
        <v>lumabas</v>
      </c>
      <c r="F1030" s="30" t="s">
        <v>16</v>
      </c>
      <c r="G1030" s="2"/>
      <c r="H1030" s="1" t="s">
        <v>0</v>
      </c>
      <c r="I1030" s="2"/>
      <c r="J1030" s="2"/>
      <c r="K1030" s="1" t="s">
        <v>15</v>
      </c>
    </row>
    <row r="1031" ht="15.75" customHeight="1">
      <c r="A1031" s="1">
        <v>1030.0</v>
      </c>
      <c r="B1031" s="1">
        <v>26.0</v>
      </c>
      <c r="C1031" s="4" t="s">
        <v>51</v>
      </c>
      <c r="D1031" s="38" t="str">
        <f>IFERROR(__xludf.DUMMYFUNCTION("LET(
  words, TRANSPOSE(SPLIT($C1031,""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)"),"na lumabas na ang grades")</f>
        <v>na lumabas na ang grades</v>
      </c>
      <c r="E1031" s="39" t="str">
        <f>IFERROR(__xludf.DUMMYFUNCTION("INDEX(SPLIT($C1031,"" ""), ROW()-ROW($E$1023)+1)
"),"na")</f>
        <v>na</v>
      </c>
      <c r="F1031" s="30" t="s">
        <v>16</v>
      </c>
      <c r="G1031" s="2"/>
      <c r="H1031" s="1" t="s">
        <v>0</v>
      </c>
      <c r="I1031" s="2"/>
      <c r="J1031" s="2"/>
      <c r="K1031" s="1" t="s">
        <v>15</v>
      </c>
    </row>
    <row r="1032" ht="15.75" customHeight="1">
      <c r="A1032" s="1">
        <v>1031.0</v>
      </c>
      <c r="B1032" s="1">
        <v>26.0</v>
      </c>
      <c r="C1032" s="4" t="s">
        <v>51</v>
      </c>
      <c r="D1032" s="38" t="str">
        <f>IFERROR(__xludf.DUMMYFUNCTION("LET(
  words, TRANSPOSE(SPLIT($C1032,""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)"),"lumabas na ang grades ninyo")</f>
        <v>lumabas na ang grades ninyo</v>
      </c>
      <c r="E1032" s="39" t="str">
        <f>IFERROR(__xludf.DUMMYFUNCTION("INDEX(SPLIT($C1032,"" ""), ROW()-ROW($E$1023)+1)
"),"ang")</f>
        <v>ang</v>
      </c>
      <c r="F1032" s="30" t="s">
        <v>16</v>
      </c>
      <c r="G1032" s="2"/>
      <c r="H1032" s="1" t="s">
        <v>0</v>
      </c>
      <c r="I1032" s="2"/>
      <c r="J1032" s="2"/>
      <c r="K1032" s="1" t="s">
        <v>15</v>
      </c>
    </row>
    <row r="1033" ht="15.75" customHeight="1">
      <c r="A1033" s="1">
        <v>1032.0</v>
      </c>
      <c r="B1033" s="1">
        <v>26.0</v>
      </c>
      <c r="C1033" s="4" t="s">
        <v>51</v>
      </c>
      <c r="D1033" s="38" t="str">
        <f>IFERROR(__xludf.DUMMYFUNCTION("LET(
  words, TRANSPOSE(SPLIT($C1033,""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)"),"na ang grades ninyo .")</f>
        <v>na ang grades ninyo .</v>
      </c>
      <c r="E1033" s="39" t="str">
        <f>IFERROR(__xludf.DUMMYFUNCTION("INDEX(SPLIT($C1033,"" ""), ROW()-ROW($E$1023)+1)
"),"grades")</f>
        <v>grades</v>
      </c>
      <c r="F1033" s="30" t="s">
        <v>18</v>
      </c>
      <c r="G1033" s="2"/>
      <c r="H1033" s="1" t="s">
        <v>0</v>
      </c>
      <c r="I1033" s="2"/>
      <c r="J1033" s="2"/>
      <c r="K1033" s="1" t="s">
        <v>15</v>
      </c>
    </row>
    <row r="1034" ht="15.75" customHeight="1">
      <c r="A1034" s="1">
        <v>1033.0</v>
      </c>
      <c r="B1034" s="1">
        <v>26.0</v>
      </c>
      <c r="C1034" s="4" t="s">
        <v>51</v>
      </c>
      <c r="D1034" s="38" t="str">
        <f>IFERROR(__xludf.DUMMYFUNCTION("LET(
  words, TRANSPOSE(SPLIT($C1034,""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)"),"ang grades ninyo . congratulations")</f>
        <v>ang grades ninyo . congratulations</v>
      </c>
      <c r="E1034" s="39" t="str">
        <f>IFERROR(__xludf.DUMMYFUNCTION("INDEX(SPLIT($C1034,"" ""), ROW()-ROW($E$1023)+1)
"),"ninyo")</f>
        <v>ninyo</v>
      </c>
      <c r="F1034" s="30" t="s">
        <v>16</v>
      </c>
      <c r="G1034" s="2"/>
      <c r="H1034" s="1" t="s">
        <v>0</v>
      </c>
      <c r="I1034" s="2"/>
      <c r="J1034" s="2"/>
      <c r="K1034" s="1" t="s">
        <v>15</v>
      </c>
    </row>
    <row r="1035" ht="15.75" customHeight="1">
      <c r="A1035" s="1">
        <v>1034.0</v>
      </c>
      <c r="B1035" s="1">
        <v>26.0</v>
      </c>
      <c r="C1035" s="4" t="s">
        <v>51</v>
      </c>
      <c r="D1035" s="38" t="str">
        <f>IFERROR(__xludf.DUMMYFUNCTION("LET(
  words, TRANSPOSE(SPLIT($C1035,""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)"),"grades ninyo . congratulations ,")</f>
        <v>grades ninyo . congratulations ,</v>
      </c>
      <c r="E1035" s="39" t="str">
        <f>IFERROR(__xludf.DUMMYFUNCTION("INDEX(SPLIT($C1035,"" ""), ROW()-ROW($E$1023)+1)
"),".")</f>
        <v>.</v>
      </c>
      <c r="F1035" s="30" t="s">
        <v>17</v>
      </c>
      <c r="G1035" s="2"/>
      <c r="H1035" s="1" t="s">
        <v>0</v>
      </c>
      <c r="I1035" s="2"/>
      <c r="J1035" s="2"/>
      <c r="K1035" s="1" t="s">
        <v>15</v>
      </c>
    </row>
    <row r="1036" ht="15.75" customHeight="1">
      <c r="A1036" s="1">
        <v>1035.0</v>
      </c>
      <c r="B1036" s="1">
        <v>26.0</v>
      </c>
      <c r="C1036" s="4" t="s">
        <v>51</v>
      </c>
      <c r="D1036" s="38" t="str">
        <f>IFERROR(__xludf.DUMMYFUNCTION("LET(
  words, TRANSPOSE(SPLIT($C1036,""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)"),"ninyo . congratulations , all")</f>
        <v>ninyo . congratulations , all</v>
      </c>
      <c r="E1036" s="39" t="str">
        <f>IFERROR(__xludf.DUMMYFUNCTION("INDEX(SPLIT($C1036,"" ""), ROW()-ROW($E$1023)+1)
"),"congratulations")</f>
        <v>congratulations</v>
      </c>
      <c r="F1036" s="30" t="s">
        <v>18</v>
      </c>
      <c r="G1036" s="2"/>
      <c r="H1036" s="1" t="s">
        <v>0</v>
      </c>
      <c r="I1036" s="2"/>
      <c r="J1036" s="2"/>
      <c r="K1036" s="1" t="s">
        <v>15</v>
      </c>
    </row>
    <row r="1037" ht="15.75" customHeight="1">
      <c r="A1037" s="1">
        <v>1036.0</v>
      </c>
      <c r="B1037" s="1">
        <v>26.0</v>
      </c>
      <c r="C1037" s="4" t="s">
        <v>51</v>
      </c>
      <c r="D1037" s="38" t="str">
        <f>IFERROR(__xludf.DUMMYFUNCTION("LET(
  words, TRANSPOSE(SPLIT($C1037,""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)"),". congratulations , all of")</f>
        <v>. congratulations , all of</v>
      </c>
      <c r="E1037" s="39" t="str">
        <f>IFERROR(__xludf.DUMMYFUNCTION("INDEX(SPLIT($C1037,"" ""), ROW()-ROW($E$1023)+1)
"),",")</f>
        <v>,</v>
      </c>
      <c r="F1037" s="30" t="s">
        <v>17</v>
      </c>
      <c r="G1037" s="2"/>
      <c r="H1037" s="1" t="s">
        <v>0</v>
      </c>
      <c r="I1037" s="2"/>
      <c r="J1037" s="2"/>
      <c r="K1037" s="1" t="s">
        <v>15</v>
      </c>
    </row>
    <row r="1038" ht="15.75" customHeight="1">
      <c r="A1038" s="1">
        <v>1037.0</v>
      </c>
      <c r="B1038" s="1">
        <v>26.0</v>
      </c>
      <c r="C1038" s="4" t="s">
        <v>51</v>
      </c>
      <c r="D1038" s="38" t="str">
        <f>IFERROR(__xludf.DUMMYFUNCTION("LET(
  words, TRANSPOSE(SPLIT($C1038,""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)"),"congratulations , all of you")</f>
        <v>congratulations , all of you</v>
      </c>
      <c r="E1038" s="39" t="str">
        <f>IFERROR(__xludf.DUMMYFUNCTION("INDEX(SPLIT($C1038,"" ""), ROW()-ROW($E$1023)+1)
"),"all")</f>
        <v>all</v>
      </c>
      <c r="F1038" s="30" t="s">
        <v>18</v>
      </c>
      <c r="G1038" s="2"/>
      <c r="H1038" s="1" t="s">
        <v>0</v>
      </c>
      <c r="I1038" s="2"/>
      <c r="J1038" s="2"/>
      <c r="K1038" s="1" t="s">
        <v>15</v>
      </c>
    </row>
    <row r="1039" ht="15.75" customHeight="1">
      <c r="A1039" s="1">
        <v>1038.0</v>
      </c>
      <c r="B1039" s="1">
        <v>26.0</v>
      </c>
      <c r="C1039" s="4" t="s">
        <v>51</v>
      </c>
      <c r="D1039" s="38" t="str">
        <f>IFERROR(__xludf.DUMMYFUNCTION("LET(
  words, TRANSPOSE(SPLIT($C1039,""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)"),", all of you in")</f>
        <v>, all of you in</v>
      </c>
      <c r="E1039" s="39" t="str">
        <f>IFERROR(__xludf.DUMMYFUNCTION("INDEX(SPLIT($C1039,"" ""), ROW()-ROW($E$1023)+1)
"),"of")</f>
        <v>of</v>
      </c>
      <c r="F1039" s="30" t="s">
        <v>18</v>
      </c>
      <c r="G1039" s="2"/>
      <c r="H1039" s="1" t="s">
        <v>0</v>
      </c>
      <c r="I1039" s="2"/>
      <c r="J1039" s="2"/>
      <c r="K1039" s="1" t="s">
        <v>15</v>
      </c>
    </row>
    <row r="1040" ht="15.75" customHeight="1">
      <c r="A1040" s="1">
        <v>1039.0</v>
      </c>
      <c r="B1040" s="1">
        <v>26.0</v>
      </c>
      <c r="C1040" s="4" t="s">
        <v>51</v>
      </c>
      <c r="D1040" s="38" t="str">
        <f>IFERROR(__xludf.DUMMYFUNCTION("LET(
  words, TRANSPOSE(SPLIT($C1040,""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)"),"all of you in this")</f>
        <v>all of you in this</v>
      </c>
      <c r="E1040" s="39" t="str">
        <f>IFERROR(__xludf.DUMMYFUNCTION("INDEX(SPLIT($C1040,"" ""), ROW()-ROW($E$1023)+1)
"),"you")</f>
        <v>you</v>
      </c>
      <c r="F1040" s="30" t="s">
        <v>18</v>
      </c>
      <c r="G1040" s="2"/>
      <c r="H1040" s="1" t="s">
        <v>0</v>
      </c>
      <c r="I1040" s="2"/>
      <c r="J1040" s="2"/>
      <c r="K1040" s="1" t="s">
        <v>15</v>
      </c>
    </row>
    <row r="1041" ht="15.75" customHeight="1">
      <c r="A1041" s="1">
        <v>1040.0</v>
      </c>
      <c r="B1041" s="1">
        <v>26.0</v>
      </c>
      <c r="C1041" s="4" t="s">
        <v>51</v>
      </c>
      <c r="D1041" s="38" t="str">
        <f>IFERROR(__xludf.DUMMYFUNCTION("LET(
  words, TRANSPOSE(SPLIT($C1041,""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)"),"of you in this section")</f>
        <v>of you in this section</v>
      </c>
      <c r="E1041" s="39" t="str">
        <f>IFERROR(__xludf.DUMMYFUNCTION("INDEX(SPLIT($C1041,"" ""), ROW()-ROW($E$1023)+1)
"),"in")</f>
        <v>in</v>
      </c>
      <c r="F1041" s="30" t="s">
        <v>18</v>
      </c>
      <c r="G1041" s="2"/>
      <c r="H1041" s="1" t="s">
        <v>0</v>
      </c>
      <c r="I1041" s="2"/>
      <c r="J1041" s="2"/>
      <c r="K1041" s="1" t="s">
        <v>15</v>
      </c>
    </row>
    <row r="1042" ht="15.75" customHeight="1">
      <c r="A1042" s="1">
        <v>1041.0</v>
      </c>
      <c r="B1042" s="1">
        <v>26.0</v>
      </c>
      <c r="C1042" s="4" t="s">
        <v>51</v>
      </c>
      <c r="D1042" s="38" t="str">
        <f>IFERROR(__xludf.DUMMYFUNCTION("LET(
  words, TRANSPOSE(SPLIT($C1042,""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)"),"you in this section passed")</f>
        <v>you in this section passed</v>
      </c>
      <c r="E1042" s="39" t="str">
        <f>IFERROR(__xludf.DUMMYFUNCTION("INDEX(SPLIT($C1042,"" ""), ROW()-ROW($E$1023)+1)
"),"this")</f>
        <v>this</v>
      </c>
      <c r="F1042" s="30" t="s">
        <v>18</v>
      </c>
      <c r="G1042" s="2"/>
      <c r="H1042" s="1" t="s">
        <v>0</v>
      </c>
      <c r="I1042" s="2"/>
      <c r="J1042" s="2"/>
      <c r="K1042" s="1" t="s">
        <v>15</v>
      </c>
    </row>
    <row r="1043" ht="15.75" customHeight="1">
      <c r="A1043" s="1">
        <v>1042.0</v>
      </c>
      <c r="B1043" s="1">
        <v>26.0</v>
      </c>
      <c r="C1043" s="4" t="s">
        <v>51</v>
      </c>
      <c r="D1043" s="38" t="str">
        <f>IFERROR(__xludf.DUMMYFUNCTION("LET(
  words, TRANSPOSE(SPLIT($C1043,""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)"),"in this section passed MTH101A")</f>
        <v>in this section passed MTH101A</v>
      </c>
      <c r="E1043" s="39" t="str">
        <f>IFERROR(__xludf.DUMMYFUNCTION("INDEX(SPLIT($C1043,"" ""), ROW()-ROW($E$1023)+1)
"),"section")</f>
        <v>section</v>
      </c>
      <c r="F1043" s="30" t="s">
        <v>18</v>
      </c>
      <c r="G1043" s="2"/>
      <c r="H1043" s="1" t="s">
        <v>0</v>
      </c>
      <c r="I1043" s="2"/>
      <c r="J1043" s="2"/>
      <c r="K1043" s="1" t="s">
        <v>15</v>
      </c>
    </row>
    <row r="1044" ht="15.75" customHeight="1">
      <c r="A1044" s="1">
        <v>1043.0</v>
      </c>
      <c r="B1044" s="1">
        <v>26.0</v>
      </c>
      <c r="C1044" s="4" t="s">
        <v>51</v>
      </c>
      <c r="D1044" s="38" t="str">
        <f>IFERROR(__xludf.DUMMYFUNCTION("LET(
  words, TRANSPOSE(SPLIT($C1044,""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)"),"this section passed MTH101A !")</f>
        <v>this section passed MTH101A !</v>
      </c>
      <c r="E1044" s="39" t="str">
        <f>IFERROR(__xludf.DUMMYFUNCTION("INDEX(SPLIT($C1044,"" ""), ROW()-ROW($E$1023)+1)
"),"passed")</f>
        <v>passed</v>
      </c>
      <c r="F1044" s="30" t="s">
        <v>18</v>
      </c>
      <c r="G1044" s="2"/>
      <c r="H1044" s="1" t="s">
        <v>0</v>
      </c>
      <c r="I1044" s="2"/>
      <c r="J1044" s="2"/>
      <c r="K1044" s="1" t="s">
        <v>15</v>
      </c>
    </row>
    <row r="1045" ht="15.75" customHeight="1">
      <c r="A1045" s="1">
        <v>1044.0</v>
      </c>
      <c r="B1045" s="1">
        <v>26.0</v>
      </c>
      <c r="C1045" s="4" t="s">
        <v>51</v>
      </c>
      <c r="D1045" s="38" t="str">
        <f>IFERROR(__xludf.DUMMYFUNCTION("LET(
  words, TRANSPOSE(SPLIT($C1045,""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)"),"section passed MTH101A ! thank")</f>
        <v>section passed MTH101A ! thank</v>
      </c>
      <c r="E1045" s="39" t="str">
        <f>IFERROR(__xludf.DUMMYFUNCTION("INDEX(SPLIT($C1045,"" ""), ROW()-ROW($E$1023)+1)
"),"MTH101A")</f>
        <v>MTH101A</v>
      </c>
      <c r="F1045" s="30" t="s">
        <v>18</v>
      </c>
      <c r="G1045" s="1" t="s">
        <v>31</v>
      </c>
      <c r="H1045" s="1" t="s">
        <v>0</v>
      </c>
      <c r="I1045" s="2"/>
      <c r="J1045" s="2"/>
      <c r="K1045" s="1" t="s">
        <v>15</v>
      </c>
    </row>
    <row r="1046" ht="15.75" customHeight="1">
      <c r="A1046" s="1">
        <v>1045.0</v>
      </c>
      <c r="B1046" s="1">
        <v>26.0</v>
      </c>
      <c r="C1046" s="4" t="s">
        <v>51</v>
      </c>
      <c r="D1046" s="38" t="str">
        <f>IFERROR(__xludf.DUMMYFUNCTION("LET(
  words, TRANSPOSE(SPLIT($C1046,""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)"),"passed MTH101A ! thank you")</f>
        <v>passed MTH101A ! thank you</v>
      </c>
      <c r="E1046" s="39" t="str">
        <f>IFERROR(__xludf.DUMMYFUNCTION("INDEX(SPLIT($C1046,"" ""), ROW()-ROW($E$1023)+1)
"),"!")</f>
        <v>!</v>
      </c>
      <c r="F1046" s="30" t="s">
        <v>17</v>
      </c>
      <c r="G1046" s="2"/>
      <c r="H1046" s="1" t="s">
        <v>0</v>
      </c>
      <c r="I1046" s="2"/>
      <c r="J1046" s="2"/>
      <c r="K1046" s="1" t="s">
        <v>15</v>
      </c>
    </row>
    <row r="1047" ht="15.75" customHeight="1">
      <c r="A1047" s="1">
        <v>1046.0</v>
      </c>
      <c r="B1047" s="1">
        <v>26.0</v>
      </c>
      <c r="C1047" s="4" t="s">
        <v>51</v>
      </c>
      <c r="D1047" s="38" t="str">
        <f>IFERROR(__xludf.DUMMYFUNCTION("LET(
  words, TRANSPOSE(SPLIT($C1047,""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)"),"MTH101A ! thank you for")</f>
        <v>MTH101A ! thank you for</v>
      </c>
      <c r="E1047" s="39" t="str">
        <f>IFERROR(__xludf.DUMMYFUNCTION("INDEX(SPLIT($C1047,"" ""), ROW()-ROW($E$1023)+1)
"),"thank")</f>
        <v>thank</v>
      </c>
      <c r="F1047" s="30" t="s">
        <v>18</v>
      </c>
      <c r="G1047" s="2"/>
      <c r="H1047" s="1" t="s">
        <v>0</v>
      </c>
      <c r="I1047" s="2"/>
      <c r="J1047" s="2"/>
      <c r="K1047" s="1" t="s">
        <v>15</v>
      </c>
    </row>
    <row r="1048" ht="15.75" customHeight="1">
      <c r="A1048" s="1">
        <v>1047.0</v>
      </c>
      <c r="B1048" s="1">
        <v>26.0</v>
      </c>
      <c r="C1048" s="4" t="s">
        <v>51</v>
      </c>
      <c r="D1048" s="38" t="str">
        <f>IFERROR(__xludf.DUMMYFUNCTION("LET(
  words, TRANSPOSE(SPLIT($C1048,""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)"),"! thank you for all")</f>
        <v>! thank you for all</v>
      </c>
      <c r="E1048" s="39" t="str">
        <f>IFERROR(__xludf.DUMMYFUNCTION("INDEX(SPLIT($C1048,"" ""), ROW()-ROW($E$1023)+1)
"),"you")</f>
        <v>you</v>
      </c>
      <c r="F1048" s="30" t="s">
        <v>18</v>
      </c>
      <c r="G1048" s="2"/>
      <c r="H1048" s="1" t="s">
        <v>0</v>
      </c>
      <c r="I1048" s="2"/>
      <c r="J1048" s="2"/>
      <c r="K1048" s="1" t="s">
        <v>15</v>
      </c>
    </row>
    <row r="1049" ht="15.75" customHeight="1">
      <c r="A1049" s="1">
        <v>1048.0</v>
      </c>
      <c r="B1049" s="1">
        <v>26.0</v>
      </c>
      <c r="C1049" s="4" t="s">
        <v>51</v>
      </c>
      <c r="D1049" s="38" t="str">
        <f>IFERROR(__xludf.DUMMYFUNCTION("LET(
  words, TRANSPOSE(SPLIT($C1049,""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)"),"thank you for all your")</f>
        <v>thank you for all your</v>
      </c>
      <c r="E1049" s="39" t="str">
        <f>IFERROR(__xludf.DUMMYFUNCTION("INDEX(SPLIT($C1049,"" ""), ROW()-ROW($E$1023)+1)
"),"for")</f>
        <v>for</v>
      </c>
      <c r="F1049" s="30" t="s">
        <v>18</v>
      </c>
      <c r="G1049" s="2"/>
      <c r="H1049" s="1" t="s">
        <v>0</v>
      </c>
      <c r="I1049" s="2"/>
      <c r="J1049" s="2"/>
      <c r="K1049" s="1" t="s">
        <v>15</v>
      </c>
    </row>
    <row r="1050" ht="15.75" customHeight="1">
      <c r="A1050" s="1">
        <v>1049.0</v>
      </c>
      <c r="B1050" s="1">
        <v>26.0</v>
      </c>
      <c r="C1050" s="4" t="s">
        <v>51</v>
      </c>
      <c r="D1050" s="38" t="str">
        <f>IFERROR(__xludf.DUMMYFUNCTION("LET(
  words, TRANSPOSE(SPLIT($C1050,""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)"),"you for all your hard")</f>
        <v>you for all your hard</v>
      </c>
      <c r="E1050" s="39" t="str">
        <f>IFERROR(__xludf.DUMMYFUNCTION("INDEX(SPLIT($C1050,"" ""), ROW()-ROW($E$1023)+1)
"),"all")</f>
        <v>all</v>
      </c>
      <c r="F1050" s="30" t="s">
        <v>18</v>
      </c>
      <c r="G1050" s="2"/>
      <c r="H1050" s="1" t="s">
        <v>0</v>
      </c>
      <c r="I1050" s="2"/>
      <c r="J1050" s="2"/>
      <c r="K1050" s="1" t="s">
        <v>15</v>
      </c>
    </row>
    <row r="1051" ht="15.75" customHeight="1">
      <c r="A1051" s="1">
        <v>1050.0</v>
      </c>
      <c r="B1051" s="1">
        <v>26.0</v>
      </c>
      <c r="C1051" s="4" t="s">
        <v>51</v>
      </c>
      <c r="D1051" s="38" t="str">
        <f>IFERROR(__xludf.DUMMYFUNCTION("LET(
  words, TRANSPOSE(SPLIT($C1051,""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)"),"for all your hard works")</f>
        <v>for all your hard works</v>
      </c>
      <c r="E1051" s="39" t="str">
        <f>IFERROR(__xludf.DUMMYFUNCTION("INDEX(SPLIT($C1051,"" ""), ROW()-ROW($E$1023)+1)
"),"your")</f>
        <v>your</v>
      </c>
      <c r="F1051" s="30" t="s">
        <v>18</v>
      </c>
      <c r="G1051" s="2"/>
      <c r="H1051" s="1" t="s">
        <v>0</v>
      </c>
      <c r="I1051" s="2"/>
      <c r="J1051" s="2"/>
      <c r="K1051" s="1" t="s">
        <v>15</v>
      </c>
    </row>
    <row r="1052" ht="15.75" customHeight="1">
      <c r="A1052" s="1">
        <v>1051.0</v>
      </c>
      <c r="B1052" s="1">
        <v>26.0</v>
      </c>
      <c r="C1052" s="4" t="s">
        <v>51</v>
      </c>
      <c r="D1052" s="38" t="str">
        <f>IFERROR(__xludf.DUMMYFUNCTION("LET(
  words, TRANSPOSE(SPLIT($C1052,""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)"),"all your hard works and")</f>
        <v>all your hard works and</v>
      </c>
      <c r="E1052" s="39" t="str">
        <f>IFERROR(__xludf.DUMMYFUNCTION("INDEX(SPLIT($C1052,"" ""), ROW()-ROW($E$1023)+1)
"),"hard")</f>
        <v>hard</v>
      </c>
      <c r="F1052" s="30" t="s">
        <v>18</v>
      </c>
      <c r="G1052" s="2"/>
      <c r="H1052" s="1" t="s">
        <v>0</v>
      </c>
      <c r="I1052" s="2"/>
      <c r="J1052" s="2"/>
      <c r="K1052" s="1" t="s">
        <v>15</v>
      </c>
    </row>
    <row r="1053" ht="15.75" customHeight="1">
      <c r="A1053" s="1">
        <v>1052.0</v>
      </c>
      <c r="B1053" s="1">
        <v>26.0</v>
      </c>
      <c r="C1053" s="4" t="s">
        <v>51</v>
      </c>
      <c r="D1053" s="38" t="str">
        <f>IFERROR(__xludf.DUMMYFUNCTION("LET(
  words, TRANSPOSE(SPLIT($C1053,""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)"),"your hard works and for")</f>
        <v>your hard works and for</v>
      </c>
      <c r="E1053" s="39" t="str">
        <f>IFERROR(__xludf.DUMMYFUNCTION("INDEX(SPLIT($C1053,"" ""), ROW()-ROW($E$1023)+1)
"),"works")</f>
        <v>works</v>
      </c>
      <c r="F1053" s="30" t="s">
        <v>18</v>
      </c>
      <c r="G1053" s="2"/>
      <c r="H1053" s="1" t="s">
        <v>0</v>
      </c>
      <c r="I1053" s="2"/>
      <c r="J1053" s="2"/>
      <c r="K1053" s="1" t="s">
        <v>15</v>
      </c>
    </row>
    <row r="1054" ht="15.75" customHeight="1">
      <c r="A1054" s="1">
        <v>1053.0</v>
      </c>
      <c r="B1054" s="1">
        <v>26.0</v>
      </c>
      <c r="C1054" s="4" t="s">
        <v>51</v>
      </c>
      <c r="D1054" s="38" t="str">
        <f>IFERROR(__xludf.DUMMYFUNCTION("LET(
  words, TRANSPOSE(SPLIT($C1054,""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)"),"hard works and for showing")</f>
        <v>hard works and for showing</v>
      </c>
      <c r="E1054" s="39" t="str">
        <f>IFERROR(__xludf.DUMMYFUNCTION("INDEX(SPLIT($C1054,"" ""), ROW()-ROW($E$1023)+1)
"),"and")</f>
        <v>and</v>
      </c>
      <c r="F1054" s="30" t="s">
        <v>18</v>
      </c>
      <c r="G1054" s="2"/>
      <c r="H1054" s="1" t="s">
        <v>0</v>
      </c>
      <c r="I1054" s="2"/>
      <c r="J1054" s="2"/>
      <c r="K1054" s="1" t="s">
        <v>15</v>
      </c>
    </row>
    <row r="1055" ht="15.75" customHeight="1">
      <c r="A1055" s="1">
        <v>1054.0</v>
      </c>
      <c r="B1055" s="1">
        <v>26.0</v>
      </c>
      <c r="C1055" s="4" t="s">
        <v>51</v>
      </c>
      <c r="D1055" s="38" t="str">
        <f>IFERROR(__xludf.DUMMYFUNCTION("LET(
  words, TRANSPOSE(SPLIT($C1055,""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)"),"works and for showing interest")</f>
        <v>works and for showing interest</v>
      </c>
      <c r="E1055" s="39" t="str">
        <f>IFERROR(__xludf.DUMMYFUNCTION("INDEX(SPLIT($C1055,"" ""), ROW()-ROW($E$1023)+1)
"),"for")</f>
        <v>for</v>
      </c>
      <c r="F1055" s="30" t="s">
        <v>18</v>
      </c>
      <c r="G1055" s="2"/>
      <c r="H1055" s="1" t="s">
        <v>0</v>
      </c>
      <c r="I1055" s="2"/>
      <c r="J1055" s="2"/>
      <c r="K1055" s="1" t="s">
        <v>15</v>
      </c>
    </row>
    <row r="1056" ht="15.75" customHeight="1">
      <c r="A1056" s="1">
        <v>1055.0</v>
      </c>
      <c r="B1056" s="1">
        <v>26.0</v>
      </c>
      <c r="C1056" s="4" t="s">
        <v>51</v>
      </c>
      <c r="D1056" s="38" t="str">
        <f>IFERROR(__xludf.DUMMYFUNCTION("LET(
  words, TRANSPOSE(SPLIT($C1056,""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)"),"and for showing interest to")</f>
        <v>and for showing interest to</v>
      </c>
      <c r="E1056" s="39" t="str">
        <f>IFERROR(__xludf.DUMMYFUNCTION("INDEX(SPLIT($C1056,"" ""), ROW()-ROW($E$1023)+1)
"),"showing")</f>
        <v>showing</v>
      </c>
      <c r="F1056" s="30" t="s">
        <v>18</v>
      </c>
      <c r="G1056" s="2"/>
      <c r="H1056" s="1" t="s">
        <v>0</v>
      </c>
      <c r="I1056" s="2"/>
      <c r="J1056" s="2"/>
      <c r="K1056" s="1" t="s">
        <v>15</v>
      </c>
    </row>
    <row r="1057" ht="15.75" customHeight="1">
      <c r="A1057" s="1">
        <v>1056.0</v>
      </c>
      <c r="B1057" s="1">
        <v>26.0</v>
      </c>
      <c r="C1057" s="4" t="s">
        <v>51</v>
      </c>
      <c r="D1057" s="38" t="str">
        <f>IFERROR(__xludf.DUMMYFUNCTION("LET(
  words, TRANSPOSE(SPLIT($C1057,""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)"),"for showing interest to learn")</f>
        <v>for showing interest to learn</v>
      </c>
      <c r="E1057" s="39" t="str">
        <f>IFERROR(__xludf.DUMMYFUNCTION("INDEX(SPLIT($C1057,"" ""), ROW()-ROW($E$1023)+1)
"),"interest")</f>
        <v>interest</v>
      </c>
      <c r="F1057" s="30" t="s">
        <v>18</v>
      </c>
      <c r="G1057" s="2"/>
      <c r="H1057" s="1" t="s">
        <v>0</v>
      </c>
      <c r="I1057" s="2"/>
      <c r="J1057" s="2"/>
      <c r="K1057" s="1" t="s">
        <v>15</v>
      </c>
    </row>
    <row r="1058" ht="15.75" customHeight="1">
      <c r="A1058" s="1">
        <v>1057.0</v>
      </c>
      <c r="B1058" s="1">
        <v>26.0</v>
      </c>
      <c r="C1058" s="4" t="s">
        <v>51</v>
      </c>
      <c r="D1058" s="38" t="str">
        <f>IFERROR(__xludf.DUMMYFUNCTION("LET(
  words, TRANSPOSE(SPLIT($C1058,""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)"),"showing interest to learn from")</f>
        <v>showing interest to learn from</v>
      </c>
      <c r="E1058" s="39" t="str">
        <f>IFERROR(__xludf.DUMMYFUNCTION("INDEX(SPLIT($C1058,"" ""), ROW()-ROW($E$1023)+1)
"),"to")</f>
        <v>to</v>
      </c>
      <c r="F1058" s="30" t="s">
        <v>18</v>
      </c>
      <c r="G1058" s="2"/>
      <c r="H1058" s="1" t="s">
        <v>0</v>
      </c>
      <c r="I1058" s="2"/>
      <c r="J1058" s="2"/>
      <c r="K1058" s="1" t="s">
        <v>15</v>
      </c>
    </row>
    <row r="1059" ht="15.75" customHeight="1">
      <c r="A1059" s="1">
        <v>1058.0</v>
      </c>
      <c r="B1059" s="1">
        <v>26.0</v>
      </c>
      <c r="C1059" s="4" t="s">
        <v>51</v>
      </c>
      <c r="D1059" s="38" t="str">
        <f>IFERROR(__xludf.DUMMYFUNCTION("LET(
  words, TRANSPOSE(SPLIT($C1059,""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)"),"interest to learn from my")</f>
        <v>interest to learn from my</v>
      </c>
      <c r="E1059" s="39" t="str">
        <f>IFERROR(__xludf.DUMMYFUNCTION("INDEX(SPLIT($C1059,"" ""), ROW()-ROW($E$1023)+1)
"),"learn")</f>
        <v>learn</v>
      </c>
      <c r="F1059" s="30" t="s">
        <v>18</v>
      </c>
      <c r="G1059" s="2"/>
      <c r="H1059" s="1" t="s">
        <v>0</v>
      </c>
      <c r="I1059" s="2"/>
      <c r="J1059" s="2"/>
      <c r="K1059" s="1" t="s">
        <v>15</v>
      </c>
    </row>
    <row r="1060" ht="15.75" customHeight="1">
      <c r="A1060" s="1">
        <v>1059.0</v>
      </c>
      <c r="B1060" s="1">
        <v>26.0</v>
      </c>
      <c r="C1060" s="4" t="s">
        <v>51</v>
      </c>
      <c r="D1060" s="38" t="str">
        <f>IFERROR(__xludf.DUMMYFUNCTION("LET(
  words, TRANSPOSE(SPLIT($C1060,""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)"),"to learn from my class")</f>
        <v>to learn from my class</v>
      </c>
      <c r="E1060" s="39" t="str">
        <f>IFERROR(__xludf.DUMMYFUNCTION("INDEX(SPLIT($C1060,"" ""), ROW()-ROW($E$1023)+1)
"),"from")</f>
        <v>from</v>
      </c>
      <c r="F1060" s="30" t="s">
        <v>18</v>
      </c>
      <c r="G1060" s="2"/>
      <c r="H1060" s="1" t="s">
        <v>0</v>
      </c>
      <c r="I1060" s="2"/>
      <c r="J1060" s="2"/>
      <c r="K1060" s="1" t="s">
        <v>15</v>
      </c>
    </row>
    <row r="1061" ht="15.75" customHeight="1">
      <c r="A1061" s="1">
        <v>1060.0</v>
      </c>
      <c r="B1061" s="1">
        <v>26.0</v>
      </c>
      <c r="C1061" s="4" t="s">
        <v>51</v>
      </c>
      <c r="D1061" s="38" t="str">
        <f>IFERROR(__xludf.DUMMYFUNCTION("LET(
  words, TRANSPOSE(SPLIT($C1061,""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)"),"learn from my class .")</f>
        <v>learn from my class .</v>
      </c>
      <c r="E1061" s="39" t="str">
        <f>IFERROR(__xludf.DUMMYFUNCTION("INDEX(SPLIT($C1061,"" ""), ROW()-ROW($E$1023)+1)
"),"my")</f>
        <v>my</v>
      </c>
      <c r="F1061" s="30" t="s">
        <v>18</v>
      </c>
      <c r="G1061" s="2"/>
      <c r="H1061" s="1" t="s">
        <v>0</v>
      </c>
      <c r="I1061" s="2"/>
      <c r="J1061" s="2"/>
      <c r="K1061" s="1" t="s">
        <v>15</v>
      </c>
    </row>
    <row r="1062" ht="15.75" customHeight="1">
      <c r="A1062" s="1">
        <v>1061.0</v>
      </c>
      <c r="B1062" s="1">
        <v>26.0</v>
      </c>
      <c r="C1062" s="4" t="s">
        <v>51</v>
      </c>
      <c r="D1062" s="38" t="str">
        <f>IFERROR(__xludf.DUMMYFUNCTION("LET(
  words, TRANSPOSE(SPLIT($C1062,""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)"),"from my class . Good")</f>
        <v>from my class . Good</v>
      </c>
      <c r="E1062" s="39" t="str">
        <f>IFERROR(__xludf.DUMMYFUNCTION("INDEX(SPLIT($C1062,"" ""), ROW()-ROW($E$1023)+1)
"),"class")</f>
        <v>class</v>
      </c>
      <c r="F1062" s="30" t="s">
        <v>18</v>
      </c>
      <c r="G1062" s="2"/>
      <c r="H1062" s="1" t="s">
        <v>0</v>
      </c>
      <c r="I1062" s="2"/>
      <c r="J1062" s="2"/>
      <c r="K1062" s="1" t="s">
        <v>15</v>
      </c>
    </row>
    <row r="1063" ht="15.75" customHeight="1">
      <c r="A1063" s="1">
        <v>1062.0</v>
      </c>
      <c r="B1063" s="1">
        <v>26.0</v>
      </c>
      <c r="C1063" s="4" t="s">
        <v>51</v>
      </c>
      <c r="D1063" s="38" t="str">
        <f>IFERROR(__xludf.DUMMYFUNCTION("LET(
  words, TRANSPOSE(SPLIT($C1063,""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)"),"my class . Good luck")</f>
        <v>my class . Good luck</v>
      </c>
      <c r="E1063" s="39" t="str">
        <f>IFERROR(__xludf.DUMMYFUNCTION("INDEX(SPLIT($C1063,"" ""), ROW()-ROW($E$1023)+1)
"),".")</f>
        <v>.</v>
      </c>
      <c r="F1063" s="30" t="s">
        <v>17</v>
      </c>
      <c r="G1063" s="2"/>
      <c r="H1063" s="1" t="s">
        <v>0</v>
      </c>
      <c r="I1063" s="2"/>
      <c r="J1063" s="2"/>
      <c r="K1063" s="1" t="s">
        <v>15</v>
      </c>
    </row>
    <row r="1064" ht="15.75" customHeight="1">
      <c r="A1064" s="1">
        <v>1063.0</v>
      </c>
      <c r="B1064" s="1">
        <v>26.0</v>
      </c>
      <c r="C1064" s="4" t="s">
        <v>51</v>
      </c>
      <c r="D1064" s="38" t="str">
        <f>IFERROR(__xludf.DUMMYFUNCTION("LET(
  words, TRANSPOSE(SPLIT($C1064,""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)"),"class . Good luck on")</f>
        <v>class . Good luck on</v>
      </c>
      <c r="E1064" s="39" t="str">
        <f>IFERROR(__xludf.DUMMYFUNCTION("INDEX(SPLIT($C1064,"" ""), ROW()-ROW($E$1023)+1)
"),"Good")</f>
        <v>Good</v>
      </c>
      <c r="F1064" s="30" t="s">
        <v>18</v>
      </c>
      <c r="G1064" s="2"/>
      <c r="H1064" s="1" t="s">
        <v>0</v>
      </c>
      <c r="I1064" s="2"/>
      <c r="J1064" s="2"/>
      <c r="K1064" s="1" t="s">
        <v>15</v>
      </c>
    </row>
    <row r="1065" ht="15.75" customHeight="1">
      <c r="A1065" s="1">
        <v>1064.0</v>
      </c>
      <c r="B1065" s="1">
        <v>26.0</v>
      </c>
      <c r="C1065" s="4" t="s">
        <v>51</v>
      </c>
      <c r="D1065" s="38" t="str">
        <f>IFERROR(__xludf.DUMMYFUNCTION("LET(
  words, TRANSPOSE(SPLIT($C1065,""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)"),". Good luck on your")</f>
        <v>. Good luck on your</v>
      </c>
      <c r="E1065" s="39" t="str">
        <f>IFERROR(__xludf.DUMMYFUNCTION("INDEX(SPLIT($C1065,"" ""), ROW()-ROW($E$1023)+1)
"),"luck")</f>
        <v>luck</v>
      </c>
      <c r="F1065" s="30" t="s">
        <v>18</v>
      </c>
      <c r="G1065" s="2"/>
      <c r="H1065" s="1" t="s">
        <v>0</v>
      </c>
      <c r="I1065" s="2"/>
      <c r="J1065" s="2"/>
      <c r="K1065" s="1" t="s">
        <v>15</v>
      </c>
    </row>
    <row r="1066" ht="15.75" customHeight="1">
      <c r="A1066" s="1">
        <v>1065.0</v>
      </c>
      <c r="B1066" s="1">
        <v>26.0</v>
      </c>
      <c r="C1066" s="4" t="s">
        <v>51</v>
      </c>
      <c r="D1066" s="38" t="str">
        <f>IFERROR(__xludf.DUMMYFUNCTION("LET(
  words, TRANSPOSE(SPLIT($C1066,""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)"),"Good luck on your DLSU")</f>
        <v>Good luck on your DLSU</v>
      </c>
      <c r="E1066" s="39" t="str">
        <f>IFERROR(__xludf.DUMMYFUNCTION("INDEX(SPLIT($C1066,"" ""), ROW()-ROW($E$1023)+1)
"),"on")</f>
        <v>on</v>
      </c>
      <c r="F1066" s="30" t="s">
        <v>18</v>
      </c>
      <c r="G1066" s="2"/>
      <c r="H1066" s="1" t="s">
        <v>0</v>
      </c>
      <c r="I1066" s="2"/>
      <c r="J1066" s="2"/>
      <c r="K1066" s="1" t="s">
        <v>15</v>
      </c>
    </row>
    <row r="1067" ht="15.75" customHeight="1">
      <c r="A1067" s="1">
        <v>1066.0</v>
      </c>
      <c r="B1067" s="1">
        <v>26.0</v>
      </c>
      <c r="C1067" s="4" t="s">
        <v>51</v>
      </c>
      <c r="D1067" s="38" t="str">
        <f>IFERROR(__xludf.DUMMYFUNCTION("LET(
  words, TRANSPOSE(SPLIT($C1067,""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)"),"luck on your DLSU journey")</f>
        <v>luck on your DLSU journey</v>
      </c>
      <c r="E1067" s="39" t="str">
        <f>IFERROR(__xludf.DUMMYFUNCTION("INDEX(SPLIT($C1067,"" ""), ROW()-ROW($E$1023)+1)
"),"your")</f>
        <v>your</v>
      </c>
      <c r="F1067" s="30" t="s">
        <v>18</v>
      </c>
      <c r="G1067" s="2"/>
      <c r="H1067" s="1" t="s">
        <v>0</v>
      </c>
      <c r="I1067" s="2"/>
      <c r="J1067" s="2"/>
      <c r="K1067" s="1" t="s">
        <v>15</v>
      </c>
    </row>
    <row r="1068" ht="15.75" customHeight="1">
      <c r="A1068" s="1">
        <v>1067.0</v>
      </c>
      <c r="B1068" s="1">
        <v>26.0</v>
      </c>
      <c r="C1068" s="4" t="s">
        <v>51</v>
      </c>
      <c r="D1068" s="38" t="str">
        <f>IFERROR(__xludf.DUMMYFUNCTION("LET(
  words, TRANSPOSE(SPLIT($C1068,""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)"),"on your DLSU journey .")</f>
        <v>on your DLSU journey .</v>
      </c>
      <c r="E1068" s="39" t="str">
        <f>IFERROR(__xludf.DUMMYFUNCTION("INDEX(SPLIT($C1068,"" ""), ROW()-ROW($E$1023)+1)
"),"DLSU")</f>
        <v>DLSU</v>
      </c>
      <c r="F1068" s="30" t="s">
        <v>18</v>
      </c>
      <c r="G1068" s="1" t="s">
        <v>31</v>
      </c>
      <c r="H1068" s="1" t="s">
        <v>0</v>
      </c>
      <c r="I1068" s="2"/>
      <c r="J1068" s="2"/>
      <c r="K1068" s="1" t="s">
        <v>15</v>
      </c>
    </row>
    <row r="1069" ht="15.75" customHeight="1">
      <c r="A1069" s="1">
        <v>1068.0</v>
      </c>
      <c r="B1069" s="1">
        <v>26.0</v>
      </c>
      <c r="C1069" s="4" t="s">
        <v>51</v>
      </c>
      <c r="D1069" s="38" t="str">
        <f>IFERROR(__xludf.DUMMYFUNCTION("LET(
  words, TRANSPOSE(SPLIT($C1069,""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)"),"your DLSU journey . Sana")</f>
        <v>your DLSU journey . Sana</v>
      </c>
      <c r="E1069" s="39" t="str">
        <f>IFERROR(__xludf.DUMMYFUNCTION("INDEX(SPLIT($C1069,"" ""), ROW()-ROW($E$1023)+1)
"),"journey")</f>
        <v>journey</v>
      </c>
      <c r="F1069" s="30" t="s">
        <v>18</v>
      </c>
      <c r="G1069" s="2"/>
      <c r="H1069" s="1" t="s">
        <v>0</v>
      </c>
      <c r="I1069" s="2"/>
      <c r="J1069" s="2"/>
      <c r="K1069" s="1" t="s">
        <v>15</v>
      </c>
    </row>
    <row r="1070" ht="15.75" customHeight="1">
      <c r="A1070" s="1">
        <v>1069.0</v>
      </c>
      <c r="B1070" s="1">
        <v>26.0</v>
      </c>
      <c r="C1070" s="4" t="s">
        <v>51</v>
      </c>
      <c r="D1070" s="38" t="str">
        <f>IFERROR(__xludf.DUMMYFUNCTION("LET(
  words, TRANSPOSE(SPLIT($C1070,""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)"),"DLSU journey . Sana magtagal")</f>
        <v>DLSU journey . Sana magtagal</v>
      </c>
      <c r="E1070" s="39" t="str">
        <f>IFERROR(__xludf.DUMMYFUNCTION("INDEX(SPLIT($C1070,"" ""), ROW()-ROW($E$1023)+1)
"),".")</f>
        <v>.</v>
      </c>
      <c r="F1070" s="30" t="s">
        <v>17</v>
      </c>
      <c r="G1070" s="2"/>
      <c r="H1070" s="1" t="s">
        <v>0</v>
      </c>
      <c r="I1070" s="2"/>
      <c r="J1070" s="2"/>
      <c r="K1070" s="1" t="s">
        <v>15</v>
      </c>
    </row>
    <row r="1071" ht="15.75" customHeight="1">
      <c r="A1071" s="1">
        <v>1070.0</v>
      </c>
      <c r="B1071" s="1">
        <v>26.0</v>
      </c>
      <c r="C1071" s="4" t="s">
        <v>51</v>
      </c>
      <c r="D1071" s="38" t="str">
        <f>IFERROR(__xludf.DUMMYFUNCTION("LET(
  words, TRANSPOSE(SPLIT($C1071,""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)"),"journey . Sana magtagal kayo")</f>
        <v>journey . Sana magtagal kayo</v>
      </c>
      <c r="E1071" s="39" t="str">
        <f>IFERROR(__xludf.DUMMYFUNCTION("INDEX(SPLIT($C1071,"" ""), ROW()-ROW($E$1023)+1)
"),"Sana")</f>
        <v>Sana</v>
      </c>
      <c r="F1071" s="30" t="s">
        <v>16</v>
      </c>
      <c r="G1071" s="2"/>
      <c r="H1071" s="1" t="s">
        <v>0</v>
      </c>
      <c r="I1071" s="2"/>
      <c r="J1071" s="2"/>
      <c r="K1071" s="1" t="s">
        <v>15</v>
      </c>
    </row>
    <row r="1072" ht="15.75" customHeight="1">
      <c r="A1072" s="1">
        <v>1071.0</v>
      </c>
      <c r="B1072" s="1">
        <v>26.0</v>
      </c>
      <c r="C1072" s="4" t="s">
        <v>51</v>
      </c>
      <c r="D1072" s="38" t="str">
        <f>IFERROR(__xludf.DUMMYFUNCTION("LET(
  words, TRANSPOSE(SPLIT($C1072,""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)"),". Sana magtagal kayo lahat")</f>
        <v>. Sana magtagal kayo lahat</v>
      </c>
      <c r="E1072" s="39" t="str">
        <f>IFERROR(__xludf.DUMMYFUNCTION("INDEX(SPLIT($C1072,"" ""), ROW()-ROW($E$1023)+1)
"),"magtagal")</f>
        <v>magtagal</v>
      </c>
      <c r="F1072" s="30" t="s">
        <v>16</v>
      </c>
      <c r="G1072" s="2"/>
      <c r="H1072" s="1" t="s">
        <v>0</v>
      </c>
      <c r="I1072" s="2"/>
      <c r="J1072" s="2"/>
      <c r="K1072" s="1" t="s">
        <v>15</v>
      </c>
    </row>
    <row r="1073" ht="15.75" customHeight="1">
      <c r="A1073" s="1">
        <v>1072.0</v>
      </c>
      <c r="B1073" s="1">
        <v>26.0</v>
      </c>
      <c r="C1073" s="4" t="s">
        <v>51</v>
      </c>
      <c r="D1073" s="38" t="str">
        <f>IFERROR(__xludf.DUMMYFUNCTION("LET(
  words, TRANSPOSE(SPLIT($C1073,""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)"),"Sana magtagal kayo lahat sa")</f>
        <v>Sana magtagal kayo lahat sa</v>
      </c>
      <c r="E1073" s="39" t="str">
        <f>IFERROR(__xludf.DUMMYFUNCTION("INDEX(SPLIT($C1073,"" ""), ROW()-ROW($E$1023)+1)
"),"kayo")</f>
        <v>kayo</v>
      </c>
      <c r="F1073" s="30" t="s">
        <v>16</v>
      </c>
      <c r="G1073" s="2"/>
      <c r="H1073" s="1" t="s">
        <v>0</v>
      </c>
      <c r="I1073" s="2"/>
      <c r="J1073" s="2"/>
      <c r="K1073" s="1" t="s">
        <v>15</v>
      </c>
    </row>
    <row r="1074" ht="15.75" customHeight="1">
      <c r="A1074" s="1">
        <v>1073.0</v>
      </c>
      <c r="B1074" s="1">
        <v>26.0</v>
      </c>
      <c r="C1074" s="4" t="s">
        <v>51</v>
      </c>
      <c r="D1074" s="38" t="str">
        <f>IFERROR(__xludf.DUMMYFUNCTION("LET(
  words, TRANSPOSE(SPLIT($C1074,""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)"),"magtagal kayo lahat sa Lasalle")</f>
        <v>magtagal kayo lahat sa Lasalle</v>
      </c>
      <c r="E1074" s="39" t="str">
        <f>IFERROR(__xludf.DUMMYFUNCTION("INDEX(SPLIT($C1074,"" ""), ROW()-ROW($E$1023)+1)
"),"lahat")</f>
        <v>lahat</v>
      </c>
      <c r="F1074" s="30" t="s">
        <v>16</v>
      </c>
      <c r="G1074" s="2"/>
      <c r="H1074" s="1" t="s">
        <v>0</v>
      </c>
      <c r="I1074" s="2"/>
      <c r="J1074" s="2"/>
      <c r="K1074" s="1" t="s">
        <v>15</v>
      </c>
    </row>
    <row r="1075" ht="15.75" customHeight="1">
      <c r="A1075" s="1">
        <v>1074.0</v>
      </c>
      <c r="B1075" s="1">
        <v>26.0</v>
      </c>
      <c r="C1075" s="4" t="s">
        <v>51</v>
      </c>
      <c r="D1075" s="38" t="str">
        <f>IFERROR(__xludf.DUMMYFUNCTION("LET(
  words, TRANSPOSE(SPLIT($C1075,""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)"),"kayo lahat sa Lasalle !")</f>
        <v>kayo lahat sa Lasalle !</v>
      </c>
      <c r="E1075" s="39" t="str">
        <f>IFERROR(__xludf.DUMMYFUNCTION("INDEX(SPLIT($C1075,"" ""), ROW()-ROW($E$1023)+1)
"),"sa")</f>
        <v>sa</v>
      </c>
      <c r="F1075" s="30" t="s">
        <v>16</v>
      </c>
      <c r="G1075" s="2"/>
      <c r="H1075" s="1" t="s">
        <v>0</v>
      </c>
      <c r="I1075" s="2"/>
      <c r="J1075" s="2"/>
      <c r="K1075" s="1" t="s">
        <v>15</v>
      </c>
    </row>
    <row r="1076" ht="15.75" customHeight="1">
      <c r="A1076" s="1">
        <v>1075.0</v>
      </c>
      <c r="B1076" s="1">
        <v>26.0</v>
      </c>
      <c r="C1076" s="4" t="s">
        <v>51</v>
      </c>
      <c r="D1076" s="38" t="str">
        <f>IFERROR(__xludf.DUMMYFUNCTION("LET(
  words, TRANSPOSE(SPLIT($C1076,""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)"),"lahat sa Lasalle ! magkikita")</f>
        <v>lahat sa Lasalle ! magkikita</v>
      </c>
      <c r="E1076" s="39" t="str">
        <f>IFERROR(__xludf.DUMMYFUNCTION("INDEX(SPLIT($C1076,"" ""), ROW()-ROW($E$1023)+1)
"),"Lasalle")</f>
        <v>Lasalle</v>
      </c>
      <c r="F1076" s="30" t="s">
        <v>18</v>
      </c>
      <c r="G1076" s="1" t="s">
        <v>31</v>
      </c>
      <c r="H1076" s="1" t="s">
        <v>0</v>
      </c>
      <c r="I1076" s="2"/>
      <c r="J1076" s="2"/>
      <c r="K1076" s="1" t="s">
        <v>15</v>
      </c>
    </row>
    <row r="1077" ht="15.75" customHeight="1">
      <c r="A1077" s="1">
        <v>1076.0</v>
      </c>
      <c r="B1077" s="1">
        <v>26.0</v>
      </c>
      <c r="C1077" s="4" t="s">
        <v>51</v>
      </c>
      <c r="D1077" s="38" t="str">
        <f>IFERROR(__xludf.DUMMYFUNCTION("LET(
  words, TRANSPOSE(SPLIT($C1077,""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)"),"sa Lasalle ! magkikita uli")</f>
        <v>sa Lasalle ! magkikita uli</v>
      </c>
      <c r="E1077" s="39" t="str">
        <f>IFERROR(__xludf.DUMMYFUNCTION("INDEX(SPLIT($C1077,"" ""), ROW()-ROW($E$1023)+1)
"),"!")</f>
        <v>!</v>
      </c>
      <c r="F1077" s="30" t="s">
        <v>17</v>
      </c>
      <c r="G1077" s="2"/>
      <c r="H1077" s="1" t="s">
        <v>0</v>
      </c>
      <c r="I1077" s="2"/>
      <c r="J1077" s="2"/>
      <c r="K1077" s="1" t="s">
        <v>15</v>
      </c>
    </row>
    <row r="1078" ht="15.75" customHeight="1">
      <c r="A1078" s="1">
        <v>1077.0</v>
      </c>
      <c r="B1078" s="1">
        <v>26.0</v>
      </c>
      <c r="C1078" s="4" t="s">
        <v>51</v>
      </c>
      <c r="D1078" s="38" t="str">
        <f>IFERROR(__xludf.DUMMYFUNCTION("LET(
  words, TRANSPOSE(SPLIT($C1078,""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)"),"Lasalle ! magkikita uli tayo")</f>
        <v>Lasalle ! magkikita uli tayo</v>
      </c>
      <c r="E1078" s="39" t="str">
        <f>IFERROR(__xludf.DUMMYFUNCTION("INDEX(SPLIT($C1078,"" ""), ROW()-ROW($E$1023)+1)
"),"magkikita")</f>
        <v>magkikita</v>
      </c>
      <c r="F1078" s="30" t="s">
        <v>16</v>
      </c>
      <c r="G1078" s="2"/>
      <c r="H1078" s="1" t="s">
        <v>0</v>
      </c>
      <c r="I1078" s="2"/>
      <c r="J1078" s="2"/>
      <c r="K1078" s="1" t="s">
        <v>15</v>
      </c>
    </row>
    <row r="1079" ht="15.75" customHeight="1">
      <c r="A1079" s="1">
        <v>1078.0</v>
      </c>
      <c r="B1079" s="1">
        <v>26.0</v>
      </c>
      <c r="C1079" s="4" t="s">
        <v>51</v>
      </c>
      <c r="D1079" s="38" t="str">
        <f>IFERROR(__xludf.DUMMYFUNCTION("LET(
  words, TRANSPOSE(SPLIT($C1079,""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)"),"! magkikita uli tayo ,")</f>
        <v>! magkikita uli tayo ,</v>
      </c>
      <c r="E1079" s="39" t="str">
        <f>IFERROR(__xludf.DUMMYFUNCTION("INDEX(SPLIT($C1079,"" ""), ROW()-ROW($E$1023)+1)
"),"uli")</f>
        <v>uli</v>
      </c>
      <c r="F1079" s="30" t="s">
        <v>16</v>
      </c>
      <c r="G1079" s="2"/>
      <c r="H1079" s="1" t="s">
        <v>0</v>
      </c>
      <c r="I1079" s="2"/>
      <c r="J1079" s="2"/>
      <c r="K1079" s="1" t="s">
        <v>15</v>
      </c>
    </row>
    <row r="1080" ht="15.75" customHeight="1">
      <c r="A1080" s="1">
        <v>1079.0</v>
      </c>
      <c r="B1080" s="1">
        <v>26.0</v>
      </c>
      <c r="C1080" s="4" t="s">
        <v>51</v>
      </c>
      <c r="D1080" s="38" t="str">
        <f>IFERROR(__xludf.DUMMYFUNCTION("LET(
  words, TRANSPOSE(SPLIT($C1080,""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)"),"magkikita uli tayo , guys")</f>
        <v>magkikita uli tayo , guys</v>
      </c>
      <c r="E1080" s="39" t="str">
        <f>IFERROR(__xludf.DUMMYFUNCTION("INDEX(SPLIT($C1080,"" ""), ROW()-ROW($E$1023)+1)
"),"tayo")</f>
        <v>tayo</v>
      </c>
      <c r="F1080" s="30" t="s">
        <v>16</v>
      </c>
      <c r="G1080" s="2"/>
      <c r="H1080" s="1" t="s">
        <v>0</v>
      </c>
      <c r="I1080" s="2"/>
      <c r="J1080" s="2"/>
      <c r="K1080" s="1" t="s">
        <v>15</v>
      </c>
    </row>
    <row r="1081" ht="15.75" customHeight="1">
      <c r="A1081" s="1">
        <v>1080.0</v>
      </c>
      <c r="B1081" s="1">
        <v>26.0</v>
      </c>
      <c r="C1081" s="4" t="s">
        <v>51</v>
      </c>
      <c r="D1081" s="38" t="str">
        <f>IFERROR(__xludf.DUMMYFUNCTION("LET(
  words, TRANSPOSE(SPLIT($C1081,""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)"),"uli tayo , guys !")</f>
        <v>uli tayo , guys !</v>
      </c>
      <c r="E1081" s="39" t="str">
        <f>IFERROR(__xludf.DUMMYFUNCTION("INDEX(SPLIT($C1081,"" ""), ROW()-ROW($E$1023)+1)
"),",")</f>
        <v>,</v>
      </c>
      <c r="F1081" s="30" t="s">
        <v>17</v>
      </c>
      <c r="G1081" s="2"/>
      <c r="H1081" s="1" t="s">
        <v>0</v>
      </c>
      <c r="I1081" s="2"/>
      <c r="J1081" s="2"/>
      <c r="K1081" s="1" t="s">
        <v>15</v>
      </c>
    </row>
    <row r="1082" ht="15.75" customHeight="1">
      <c r="A1082" s="1">
        <v>1081.0</v>
      </c>
      <c r="B1082" s="1">
        <v>26.0</v>
      </c>
      <c r="C1082" s="4" t="s">
        <v>51</v>
      </c>
      <c r="D1082" s="38" t="str">
        <f>IFERROR(__xludf.DUMMYFUNCTION("LET(
  words, TRANSPOSE(SPLIT($C1082,""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)"),"tayo , guys !")</f>
        <v>tayo , guys !</v>
      </c>
      <c r="E1082" s="39" t="str">
        <f>IFERROR(__xludf.DUMMYFUNCTION("INDEX(SPLIT($C1082,"" ""), ROW()-ROW($E$1023)+1)
"),"guys")</f>
        <v>guys</v>
      </c>
      <c r="F1082" s="30" t="s">
        <v>18</v>
      </c>
      <c r="G1082" s="2"/>
      <c r="H1082" s="1" t="s">
        <v>0</v>
      </c>
      <c r="I1082" s="2"/>
      <c r="J1082" s="2"/>
      <c r="K1082" s="1" t="s">
        <v>15</v>
      </c>
    </row>
    <row r="1083" ht="15.75" customHeight="1">
      <c r="A1083" s="10">
        <v>1082.0</v>
      </c>
      <c r="B1083" s="10">
        <v>26.0</v>
      </c>
      <c r="C1083" s="7" t="s">
        <v>51</v>
      </c>
      <c r="D1083" s="40" t="str">
        <f>IFERROR(__xludf.DUMMYFUNCTION("LET(
  words, TRANSPOSE(SPLIT($C1083,"" "")),
  n, ROWS(words),
  i, ROW() - ROW($D$1023)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)"),", guys !")</f>
        <v>, guys !</v>
      </c>
      <c r="E1083" s="41" t="str">
        <f>IFERROR(__xludf.DUMMYFUNCTION("INDEX(SPLIT($C1083,"" ""), ROW()-ROW($E$1023)+1)
"),"!")</f>
        <v>!</v>
      </c>
      <c r="F1083" s="32" t="s">
        <v>17</v>
      </c>
      <c r="G1083" s="6"/>
      <c r="H1083" s="10" t="s">
        <v>0</v>
      </c>
      <c r="I1083" s="6"/>
      <c r="J1083" s="6"/>
      <c r="K1083" s="10" t="s">
        <v>15</v>
      </c>
      <c r="L1083" s="6"/>
    </row>
    <row r="1084" ht="15.75" customHeight="1">
      <c r="A1084" s="1">
        <v>1083.0</v>
      </c>
      <c r="B1084" s="1">
        <v>27.0</v>
      </c>
      <c r="C1084" s="4" t="s">
        <v>52</v>
      </c>
      <c r="D1084" s="38" t="str">
        <f>IFERROR(__xludf.DUMMYFUNCTION("LET(
  words, TRANSPOSE(SPLIT($C1084,""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)"),"I already changed")</f>
        <v>I already changed</v>
      </c>
      <c r="E1084" s="39" t="str">
        <f>IFERROR(__xludf.DUMMYFUNCTION("INDEX(SPLIT($C1084,"" ""), ROW()-ROW($E$1084)+1)
"),"I")</f>
        <v>I</v>
      </c>
      <c r="F1084" s="30" t="s">
        <v>18</v>
      </c>
      <c r="G1084" s="2"/>
      <c r="H1084" s="1" t="s">
        <v>0</v>
      </c>
      <c r="I1084" s="2"/>
      <c r="J1084" s="2"/>
      <c r="K1084" s="1" t="s">
        <v>15</v>
      </c>
    </row>
    <row r="1085" ht="15.75" customHeight="1">
      <c r="A1085" s="1">
        <v>1084.0</v>
      </c>
      <c r="B1085" s="1">
        <v>27.0</v>
      </c>
      <c r="C1085" s="4" t="s">
        <v>52</v>
      </c>
      <c r="D1085" s="38" t="str">
        <f>IFERROR(__xludf.DUMMYFUNCTION("LET(
  words, TRANSPOSE(SPLIT($C1085,""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)"),"I already changed the")</f>
        <v>I already changed the</v>
      </c>
      <c r="E1085" s="39" t="str">
        <f>IFERROR(__xludf.DUMMYFUNCTION("INDEX(SPLIT($C1085,"" ""), ROW()-ROW($E$1084)+1)
"),"already")</f>
        <v>already</v>
      </c>
      <c r="F1085" s="30" t="s">
        <v>18</v>
      </c>
      <c r="G1085" s="2"/>
      <c r="H1085" s="1" t="s">
        <v>0</v>
      </c>
      <c r="I1085" s="2"/>
      <c r="J1085" s="2"/>
      <c r="K1085" s="1" t="s">
        <v>15</v>
      </c>
    </row>
    <row r="1086" ht="15.75" customHeight="1">
      <c r="A1086" s="1">
        <v>1085.0</v>
      </c>
      <c r="B1086" s="1">
        <v>27.0</v>
      </c>
      <c r="C1086" s="4" t="s">
        <v>52</v>
      </c>
      <c r="D1086" s="38" t="str">
        <f>IFERROR(__xludf.DUMMYFUNCTION("LET(
  words, TRANSPOSE(SPLIT($C1086,""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)"),"I already changed the Midterm")</f>
        <v>I already changed the Midterm</v>
      </c>
      <c r="E1086" s="39" t="str">
        <f>IFERROR(__xludf.DUMMYFUNCTION("INDEX(SPLIT($C1086,"" ""), ROW()-ROW($E$1084)+1)
"),"changed")</f>
        <v>changed</v>
      </c>
      <c r="F1086" s="30" t="s">
        <v>18</v>
      </c>
      <c r="G1086" s="2"/>
      <c r="H1086" s="1" t="s">
        <v>0</v>
      </c>
      <c r="I1086" s="2"/>
      <c r="J1086" s="2"/>
      <c r="K1086" s="1" t="s">
        <v>15</v>
      </c>
    </row>
    <row r="1087" ht="15.75" customHeight="1">
      <c r="A1087" s="1">
        <v>1086.0</v>
      </c>
      <c r="B1087" s="1">
        <v>27.0</v>
      </c>
      <c r="C1087" s="4" t="s">
        <v>52</v>
      </c>
      <c r="D1087" s="38" t="str">
        <f>IFERROR(__xludf.DUMMYFUNCTION("LET(
  words, TRANSPOSE(SPLIT($C1087,""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)"),"already changed the Midterm Exam")</f>
        <v>already changed the Midterm Exam</v>
      </c>
      <c r="E1087" s="39" t="str">
        <f>IFERROR(__xludf.DUMMYFUNCTION("INDEX(SPLIT($C1087,"" ""), ROW()-ROW($E$1084)+1)
"),"the")</f>
        <v>the</v>
      </c>
      <c r="F1087" s="30" t="s">
        <v>18</v>
      </c>
      <c r="G1087" s="2"/>
      <c r="H1087" s="1" t="s">
        <v>0</v>
      </c>
      <c r="I1087" s="2"/>
      <c r="J1087" s="2"/>
      <c r="K1087" s="1" t="s">
        <v>15</v>
      </c>
    </row>
    <row r="1088" ht="15.75" customHeight="1">
      <c r="A1088" s="1">
        <v>1087.0</v>
      </c>
      <c r="B1088" s="1">
        <v>27.0</v>
      </c>
      <c r="C1088" s="4" t="s">
        <v>52</v>
      </c>
      <c r="D1088" s="38" t="str">
        <f>IFERROR(__xludf.DUMMYFUNCTION("LET(
  words, TRANSPOSE(SPLIT($C1088,""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)"),"changed the Midterm Exam total")</f>
        <v>changed the Midterm Exam total</v>
      </c>
      <c r="E1088" s="39" t="str">
        <f>IFERROR(__xludf.DUMMYFUNCTION("INDEX(SPLIT($C1088,"" ""), ROW()-ROW($E$1084)+1)
"),"Midterm")</f>
        <v>Midterm</v>
      </c>
      <c r="F1088" s="30" t="s">
        <v>18</v>
      </c>
      <c r="G1088" s="1" t="s">
        <v>28</v>
      </c>
      <c r="H1088" s="1" t="s">
        <v>0</v>
      </c>
      <c r="I1088" s="2"/>
      <c r="J1088" s="2"/>
      <c r="K1088" s="1" t="s">
        <v>15</v>
      </c>
    </row>
    <row r="1089" ht="15.75" customHeight="1">
      <c r="A1089" s="1">
        <v>1088.0</v>
      </c>
      <c r="B1089" s="1">
        <v>27.0</v>
      </c>
      <c r="C1089" s="4" t="s">
        <v>52</v>
      </c>
      <c r="D1089" s="38" t="str">
        <f>IFERROR(__xludf.DUMMYFUNCTION("LET(
  words, TRANSPOSE(SPLIT($C1089,""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)"),"the Midterm Exam total to")</f>
        <v>the Midterm Exam total to</v>
      </c>
      <c r="E1089" s="39" t="str">
        <f>IFERROR(__xludf.DUMMYFUNCTION("INDEX(SPLIT($C1089,"" ""), ROW()-ROW($E$1084)+1)
"),"Exam")</f>
        <v>Exam</v>
      </c>
      <c r="F1089" s="30" t="s">
        <v>18</v>
      </c>
      <c r="G1089" s="1" t="s">
        <v>28</v>
      </c>
      <c r="H1089" s="1" t="s">
        <v>0</v>
      </c>
      <c r="I1089" s="2"/>
      <c r="J1089" s="2"/>
      <c r="K1089" s="1" t="s">
        <v>15</v>
      </c>
    </row>
    <row r="1090" ht="15.75" customHeight="1">
      <c r="A1090" s="1">
        <v>1089.0</v>
      </c>
      <c r="B1090" s="1">
        <v>27.0</v>
      </c>
      <c r="C1090" s="4" t="s">
        <v>52</v>
      </c>
      <c r="D1090" s="38" t="str">
        <f>IFERROR(__xludf.DUMMYFUNCTION("LET(
  words, TRANSPOSE(SPLIT($C1090,""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)"),"Midterm Exam total to 75")</f>
        <v>Midterm Exam total to 75</v>
      </c>
      <c r="E1090" s="39" t="str">
        <f>IFERROR(__xludf.DUMMYFUNCTION("INDEX(SPLIT($C1090,"" ""), ROW()-ROW($E$1084)+1)
"),"total")</f>
        <v>total</v>
      </c>
      <c r="F1090" s="30" t="s">
        <v>18</v>
      </c>
      <c r="G1090" s="2"/>
      <c r="H1090" s="1" t="s">
        <v>0</v>
      </c>
      <c r="I1090" s="2"/>
      <c r="J1090" s="2"/>
      <c r="K1090" s="1" t="s">
        <v>15</v>
      </c>
    </row>
    <row r="1091" ht="15.75" customHeight="1">
      <c r="A1091" s="1">
        <v>1090.0</v>
      </c>
      <c r="B1091" s="1">
        <v>27.0</v>
      </c>
      <c r="C1091" s="4" t="s">
        <v>52</v>
      </c>
      <c r="D1091" s="38" t="str">
        <f>IFERROR(__xludf.DUMMYFUNCTION("LET(
  words, TRANSPOSE(SPLIT($C1091,""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)"),"Exam total to 75 .")</f>
        <v>Exam total to 75 .</v>
      </c>
      <c r="E1091" s="39" t="str">
        <f>IFERROR(__xludf.DUMMYFUNCTION("INDEX(SPLIT($C1091,"" ""), ROW()-ROW($E$1084)+1)
"),"to")</f>
        <v>to</v>
      </c>
      <c r="F1091" s="30" t="s">
        <v>18</v>
      </c>
      <c r="G1091" s="2"/>
      <c r="H1091" s="1" t="s">
        <v>0</v>
      </c>
      <c r="I1091" s="2"/>
      <c r="J1091" s="2"/>
      <c r="K1091" s="1" t="s">
        <v>15</v>
      </c>
    </row>
    <row r="1092" ht="15.75" customHeight="1">
      <c r="A1092" s="1">
        <v>1091.0</v>
      </c>
      <c r="B1092" s="1">
        <v>27.0</v>
      </c>
      <c r="C1092" s="4" t="s">
        <v>52</v>
      </c>
      <c r="D1092" s="38" t="str">
        <f>IFERROR(__xludf.DUMMYFUNCTION("LET(
  words, TRANSPOSE(SPLIT($C1092,""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)"),"total to 75 . so")</f>
        <v>total to 75 . so</v>
      </c>
      <c r="E1092" s="39">
        <f>IFERROR(__xludf.DUMMYFUNCTION("INDEX(SPLIT($C1092,"" ""), ROW()-ROW($E$1084)+1)
"),75.0)</f>
        <v>75</v>
      </c>
      <c r="F1092" s="30" t="s">
        <v>25</v>
      </c>
      <c r="G1092" s="2"/>
      <c r="H1092" s="1" t="s">
        <v>0</v>
      </c>
      <c r="I1092" s="2"/>
      <c r="J1092" s="2"/>
      <c r="K1092" s="1" t="s">
        <v>15</v>
      </c>
    </row>
    <row r="1093" ht="15.75" customHeight="1">
      <c r="A1093" s="1">
        <v>1092.0</v>
      </c>
      <c r="B1093" s="1">
        <v>27.0</v>
      </c>
      <c r="C1093" s="4" t="s">
        <v>52</v>
      </c>
      <c r="D1093" s="38" t="str">
        <f>IFERROR(__xludf.DUMMYFUNCTION("LET(
  words, TRANSPOSE(SPLIT($C1093,""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)"),"to 75 . so yung")</f>
        <v>to 75 . so yung</v>
      </c>
      <c r="E1093" s="39" t="str">
        <f>IFERROR(__xludf.DUMMYFUNCTION("INDEX(SPLIT($C1093,"" ""), ROW()-ROW($E$1084)+1)
"),".")</f>
        <v>.</v>
      </c>
      <c r="F1093" s="30" t="s">
        <v>17</v>
      </c>
      <c r="G1093" s="2"/>
      <c r="H1093" s="1" t="s">
        <v>0</v>
      </c>
      <c r="I1093" s="2"/>
      <c r="J1093" s="2"/>
      <c r="K1093" s="1" t="s">
        <v>15</v>
      </c>
    </row>
    <row r="1094" ht="15.75" customHeight="1">
      <c r="A1094" s="1">
        <v>1093.0</v>
      </c>
      <c r="B1094" s="1">
        <v>27.0</v>
      </c>
      <c r="C1094" s="4" t="s">
        <v>52</v>
      </c>
      <c r="D1094" s="38" t="str">
        <f>IFERROR(__xludf.DUMMYFUNCTION("LET(
  words, TRANSPOSE(SPLIT($C1094,""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)"),"75 . so yung mga")</f>
        <v>75 . so yung mga</v>
      </c>
      <c r="E1094" s="39" t="str">
        <f>IFERROR(__xludf.DUMMYFUNCTION("INDEX(SPLIT($C1094,"" ""), ROW()-ROW($E$1084)+1)
"),"so")</f>
        <v>so</v>
      </c>
      <c r="F1094" s="30" t="s">
        <v>18</v>
      </c>
      <c r="G1094" s="2"/>
      <c r="H1094" s="1" t="s">
        <v>0</v>
      </c>
      <c r="I1094" s="2"/>
      <c r="J1094" s="2"/>
      <c r="K1094" s="1" t="s">
        <v>15</v>
      </c>
    </row>
    <row r="1095" ht="15.75" customHeight="1">
      <c r="A1095" s="1">
        <v>1094.0</v>
      </c>
      <c r="B1095" s="1">
        <v>27.0</v>
      </c>
      <c r="C1095" s="4" t="s">
        <v>52</v>
      </c>
      <c r="D1095" s="38" t="str">
        <f>IFERROR(__xludf.DUMMYFUNCTION("LET(
  words, TRANSPOSE(SPLIT($C1095,""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)"),". so yung mga sobra")</f>
        <v>. so yung mga sobra</v>
      </c>
      <c r="E1095" s="39" t="str">
        <f>IFERROR(__xludf.DUMMYFUNCTION("INDEX(SPLIT($C1095,"" ""), ROW()-ROW($E$1084)+1)
"),"yung")</f>
        <v>yung</v>
      </c>
      <c r="F1095" s="30" t="s">
        <v>16</v>
      </c>
      <c r="G1095" s="2"/>
      <c r="H1095" s="1" t="s">
        <v>0</v>
      </c>
      <c r="I1095" s="2"/>
      <c r="J1095" s="2"/>
      <c r="K1095" s="1" t="s">
        <v>15</v>
      </c>
    </row>
    <row r="1096" ht="15.75" customHeight="1">
      <c r="A1096" s="1">
        <v>1095.0</v>
      </c>
      <c r="B1096" s="1">
        <v>27.0</v>
      </c>
      <c r="C1096" s="4" t="s">
        <v>52</v>
      </c>
      <c r="D1096" s="38" t="str">
        <f>IFERROR(__xludf.DUMMYFUNCTION("LET(
  words, TRANSPOSE(SPLIT($C1096,""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)"),"so yung mga sobra sa")</f>
        <v>so yung mga sobra sa</v>
      </c>
      <c r="E1096" s="39" t="str">
        <f>IFERROR(__xludf.DUMMYFUNCTION("INDEX(SPLIT($C1096,"" ""), ROW()-ROW($E$1084)+1)
"),"mga")</f>
        <v>mga</v>
      </c>
      <c r="F1096" s="30" t="s">
        <v>16</v>
      </c>
      <c r="G1096" s="2"/>
      <c r="H1096" s="1" t="s">
        <v>0</v>
      </c>
      <c r="I1096" s="2"/>
      <c r="J1096" s="2"/>
      <c r="K1096" s="1" t="s">
        <v>15</v>
      </c>
    </row>
    <row r="1097" ht="15.75" customHeight="1">
      <c r="A1097" s="1">
        <v>1096.0</v>
      </c>
      <c r="B1097" s="1">
        <v>27.0</v>
      </c>
      <c r="C1097" s="4" t="s">
        <v>52</v>
      </c>
      <c r="D1097" s="38" t="str">
        <f>IFERROR(__xludf.DUMMYFUNCTION("LET(
  words, TRANSPOSE(SPLIT($C1097,""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)"),"yung mga sobra sa 75")</f>
        <v>yung mga sobra sa 75</v>
      </c>
      <c r="E1097" s="39" t="str">
        <f>IFERROR(__xludf.DUMMYFUNCTION("INDEX(SPLIT($C1097,"" ""), ROW()-ROW($E$1084)+1)
"),"sobra")</f>
        <v>sobra</v>
      </c>
      <c r="F1097" s="30" t="s">
        <v>16</v>
      </c>
      <c r="G1097" s="2"/>
      <c r="H1097" s="1" t="s">
        <v>0</v>
      </c>
      <c r="I1097" s="2"/>
      <c r="J1097" s="2"/>
      <c r="K1097" s="1" t="s">
        <v>15</v>
      </c>
    </row>
    <row r="1098" ht="15.75" customHeight="1">
      <c r="A1098" s="1">
        <v>1097.0</v>
      </c>
      <c r="B1098" s="1">
        <v>27.0</v>
      </c>
      <c r="C1098" s="4" t="s">
        <v>52</v>
      </c>
      <c r="D1098" s="38" t="str">
        <f>IFERROR(__xludf.DUMMYFUNCTION("LET(
  words, TRANSPOSE(SPLIT($C1098,""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)"),"mga sobra sa 75 ,")</f>
        <v>mga sobra sa 75 ,</v>
      </c>
      <c r="E1098" s="39" t="str">
        <f>IFERROR(__xludf.DUMMYFUNCTION("INDEX(SPLIT($C1098,"" ""), ROW()-ROW($E$1084)+1)
"),"sa")</f>
        <v>sa</v>
      </c>
      <c r="F1098" s="30" t="s">
        <v>16</v>
      </c>
      <c r="G1098" s="2"/>
      <c r="H1098" s="1" t="s">
        <v>0</v>
      </c>
      <c r="I1098" s="2"/>
      <c r="J1098" s="2"/>
      <c r="K1098" s="1" t="s">
        <v>15</v>
      </c>
    </row>
    <row r="1099" ht="15.75" customHeight="1">
      <c r="A1099" s="1">
        <v>1098.0</v>
      </c>
      <c r="B1099" s="1">
        <v>27.0</v>
      </c>
      <c r="C1099" s="4" t="s">
        <v>52</v>
      </c>
      <c r="D1099" s="38" t="str">
        <f>IFERROR(__xludf.DUMMYFUNCTION("LET(
  words, TRANSPOSE(SPLIT($C1099,""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)"),"sobra sa 75 , I")</f>
        <v>sobra sa 75 , I</v>
      </c>
      <c r="E1099" s="39">
        <f>IFERROR(__xludf.DUMMYFUNCTION("INDEX(SPLIT($C1099,"" ""), ROW()-ROW($E$1084)+1)
"),75.0)</f>
        <v>75</v>
      </c>
      <c r="F1099" s="30" t="s">
        <v>25</v>
      </c>
      <c r="G1099" s="2"/>
      <c r="H1099" s="1" t="s">
        <v>0</v>
      </c>
      <c r="I1099" s="2"/>
      <c r="J1099" s="2"/>
      <c r="K1099" s="1" t="s">
        <v>15</v>
      </c>
    </row>
    <row r="1100" ht="15.75" customHeight="1">
      <c r="A1100" s="1">
        <v>1099.0</v>
      </c>
      <c r="B1100" s="1">
        <v>27.0</v>
      </c>
      <c r="C1100" s="4" t="s">
        <v>52</v>
      </c>
      <c r="D1100" s="38" t="str">
        <f>IFERROR(__xludf.DUMMYFUNCTION("LET(
  words, TRANSPOSE(SPLIT($C1100,""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)"),"sa 75 , I recorded")</f>
        <v>sa 75 , I recorded</v>
      </c>
      <c r="E1100" s="39" t="str">
        <f>IFERROR(__xludf.DUMMYFUNCTION("INDEX(SPLIT($C1100,"" ""), ROW()-ROW($E$1084)+1)
"),",")</f>
        <v>,</v>
      </c>
      <c r="F1100" s="30" t="s">
        <v>17</v>
      </c>
      <c r="G1100" s="2"/>
      <c r="H1100" s="1" t="s">
        <v>0</v>
      </c>
      <c r="I1100" s="2"/>
      <c r="J1100" s="2"/>
      <c r="K1100" s="1" t="s">
        <v>15</v>
      </c>
    </row>
    <row r="1101" ht="15.75" customHeight="1">
      <c r="A1101" s="1">
        <v>1100.0</v>
      </c>
      <c r="B1101" s="1">
        <v>27.0</v>
      </c>
      <c r="C1101" s="4" t="s">
        <v>52</v>
      </c>
      <c r="D1101" s="38" t="str">
        <f>IFERROR(__xludf.DUMMYFUNCTION("LET(
  words, TRANSPOSE(SPLIT($C1101,""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)"),"75 , I recorded it")</f>
        <v>75 , I recorded it</v>
      </c>
      <c r="E1101" s="39" t="str">
        <f>IFERROR(__xludf.DUMMYFUNCTION("INDEX(SPLIT($C1101,"" ""), ROW()-ROW($E$1084)+1)
"),"I")</f>
        <v>I</v>
      </c>
      <c r="F1101" s="30" t="s">
        <v>18</v>
      </c>
      <c r="G1101" s="2"/>
      <c r="H1101" s="1" t="s">
        <v>0</v>
      </c>
      <c r="I1101" s="2"/>
      <c r="J1101" s="2"/>
      <c r="K1101" s="1" t="s">
        <v>15</v>
      </c>
    </row>
    <row r="1102" ht="15.75" customHeight="1">
      <c r="A1102" s="1">
        <v>1101.0</v>
      </c>
      <c r="B1102" s="1">
        <v>27.0</v>
      </c>
      <c r="C1102" s="4" t="s">
        <v>52</v>
      </c>
      <c r="D1102" s="38" t="str">
        <f>IFERROR(__xludf.DUMMYFUNCTION("LET(
  words, TRANSPOSE(SPLIT($C1102,""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)"),", I recorded it as")</f>
        <v>, I recorded it as</v>
      </c>
      <c r="E1102" s="39" t="str">
        <f>IFERROR(__xludf.DUMMYFUNCTION("INDEX(SPLIT($C1102,"" ""), ROW()-ROW($E$1084)+1)
"),"recorded")</f>
        <v>recorded</v>
      </c>
      <c r="F1102" s="30" t="s">
        <v>18</v>
      </c>
      <c r="G1102" s="2"/>
      <c r="H1102" s="1" t="s">
        <v>0</v>
      </c>
      <c r="I1102" s="2"/>
      <c r="J1102" s="2"/>
      <c r="K1102" s="1" t="s">
        <v>15</v>
      </c>
    </row>
    <row r="1103" ht="15.75" customHeight="1">
      <c r="A1103" s="1">
        <v>1102.0</v>
      </c>
      <c r="B1103" s="1">
        <v>27.0</v>
      </c>
      <c r="C1103" s="4" t="s">
        <v>52</v>
      </c>
      <c r="D1103" s="38" t="str">
        <f>IFERROR(__xludf.DUMMYFUNCTION("LET(
  words, TRANSPOSE(SPLIT($C1103,""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)"),"I recorded it as 75")</f>
        <v>I recorded it as 75</v>
      </c>
      <c r="E1103" s="39" t="str">
        <f>IFERROR(__xludf.DUMMYFUNCTION("INDEX(SPLIT($C1103,"" ""), ROW()-ROW($E$1084)+1)
"),"it")</f>
        <v>it</v>
      </c>
      <c r="F1103" s="30" t="s">
        <v>18</v>
      </c>
      <c r="G1103" s="2"/>
      <c r="H1103" s="1" t="s">
        <v>0</v>
      </c>
      <c r="I1103" s="2"/>
      <c r="J1103" s="2"/>
      <c r="K1103" s="1" t="s">
        <v>15</v>
      </c>
    </row>
    <row r="1104" ht="15.75" customHeight="1">
      <c r="A1104" s="1">
        <v>1103.0</v>
      </c>
      <c r="B1104" s="1">
        <v>27.0</v>
      </c>
      <c r="C1104" s="4" t="s">
        <v>52</v>
      </c>
      <c r="D1104" s="38" t="str">
        <f>IFERROR(__xludf.DUMMYFUNCTION("LET(
  words, TRANSPOSE(SPLIT($C1104,""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)"),"recorded it as 75 lang")</f>
        <v>recorded it as 75 lang</v>
      </c>
      <c r="E1104" s="39" t="str">
        <f>IFERROR(__xludf.DUMMYFUNCTION("INDEX(SPLIT($C1104,"" ""), ROW()-ROW($E$1084)+1)
"),"as")</f>
        <v>as</v>
      </c>
      <c r="F1104" s="30" t="s">
        <v>18</v>
      </c>
      <c r="G1104" s="2"/>
      <c r="H1104" s="1" t="s">
        <v>0</v>
      </c>
      <c r="I1104" s="2"/>
      <c r="J1104" s="2"/>
      <c r="K1104" s="1" t="s">
        <v>15</v>
      </c>
    </row>
    <row r="1105" ht="15.75" customHeight="1">
      <c r="A1105" s="1">
        <v>1104.0</v>
      </c>
      <c r="B1105" s="1">
        <v>27.0</v>
      </c>
      <c r="C1105" s="4" t="s">
        <v>52</v>
      </c>
      <c r="D1105" s="38" t="str">
        <f>IFERROR(__xludf.DUMMYFUNCTION("LET(
  words, TRANSPOSE(SPLIT($C1105,""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)"),"it as 75 lang .")</f>
        <v>it as 75 lang .</v>
      </c>
      <c r="E1105" s="39">
        <f>IFERROR(__xludf.DUMMYFUNCTION("INDEX(SPLIT($C1105,"" ""), ROW()-ROW($E$1084)+1)
"),75.0)</f>
        <v>75</v>
      </c>
      <c r="F1105" s="30" t="s">
        <v>25</v>
      </c>
      <c r="G1105" s="2"/>
      <c r="H1105" s="1" t="s">
        <v>0</v>
      </c>
      <c r="I1105" s="2"/>
      <c r="J1105" s="2"/>
      <c r="K1105" s="1" t="s">
        <v>15</v>
      </c>
    </row>
    <row r="1106" ht="15.75" customHeight="1">
      <c r="A1106" s="1">
        <v>1105.0</v>
      </c>
      <c r="B1106" s="1">
        <v>27.0</v>
      </c>
      <c r="C1106" s="4" t="s">
        <v>52</v>
      </c>
      <c r="D1106" s="38" t="str">
        <f>IFERROR(__xludf.DUMMYFUNCTION("LET(
  words, TRANSPOSE(SPLIT($C1106,""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)"),"as 75 lang . over")</f>
        <v>as 75 lang . over</v>
      </c>
      <c r="E1106" s="39" t="str">
        <f>IFERROR(__xludf.DUMMYFUNCTION("INDEX(SPLIT($C1106,"" ""), ROW()-ROW($E$1084)+1)
"),"lang")</f>
        <v>lang</v>
      </c>
      <c r="F1106" s="30" t="s">
        <v>16</v>
      </c>
      <c r="G1106" s="2"/>
      <c r="H1106" s="1" t="s">
        <v>0</v>
      </c>
      <c r="I1106" s="2"/>
      <c r="J1106" s="2"/>
      <c r="K1106" s="1" t="s">
        <v>15</v>
      </c>
    </row>
    <row r="1107" ht="15.75" customHeight="1">
      <c r="A1107" s="1">
        <v>1106.0</v>
      </c>
      <c r="B1107" s="1">
        <v>27.0</v>
      </c>
      <c r="C1107" s="4" t="s">
        <v>52</v>
      </c>
      <c r="D1107" s="38" t="str">
        <f>IFERROR(__xludf.DUMMYFUNCTION("LET(
  words, TRANSPOSE(SPLIT($C1107,""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)"),"75 lang . over 45")</f>
        <v>75 lang . over 45</v>
      </c>
      <c r="E1107" s="39" t="str">
        <f>IFERROR(__xludf.DUMMYFUNCTION("INDEX(SPLIT($C1107,"" ""), ROW()-ROW($E$1084)+1)
"),".")</f>
        <v>.</v>
      </c>
      <c r="F1107" s="30" t="s">
        <v>17</v>
      </c>
      <c r="G1107" s="2"/>
      <c r="H1107" s="1" t="s">
        <v>0</v>
      </c>
      <c r="I1107" s="2"/>
      <c r="J1107" s="2"/>
      <c r="K1107" s="1" t="s">
        <v>15</v>
      </c>
    </row>
    <row r="1108" ht="15.75" customHeight="1">
      <c r="A1108" s="1">
        <v>1107.0</v>
      </c>
      <c r="B1108" s="1">
        <v>27.0</v>
      </c>
      <c r="C1108" s="4" t="s">
        <v>52</v>
      </c>
      <c r="D1108" s="38" t="str">
        <f>IFERROR(__xludf.DUMMYFUNCTION("LET(
  words, TRANSPOSE(SPLIT($C1108,""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)"),"lang . over 45 points")</f>
        <v>lang . over 45 points</v>
      </c>
      <c r="E1108" s="39" t="str">
        <f>IFERROR(__xludf.DUMMYFUNCTION("INDEX(SPLIT($C1108,"" ""), ROW()-ROW($E$1084)+1)
"),"over")</f>
        <v>over</v>
      </c>
      <c r="F1108" s="30" t="s">
        <v>18</v>
      </c>
      <c r="G1108" s="2"/>
      <c r="H1108" s="1" t="s">
        <v>0</v>
      </c>
      <c r="I1108" s="2"/>
      <c r="J1108" s="2"/>
      <c r="K1108" s="1" t="s">
        <v>15</v>
      </c>
    </row>
    <row r="1109" ht="15.75" customHeight="1">
      <c r="A1109" s="1">
        <v>1108.0</v>
      </c>
      <c r="B1109" s="1">
        <v>27.0</v>
      </c>
      <c r="C1109" s="4" t="s">
        <v>52</v>
      </c>
      <c r="D1109" s="38" t="str">
        <f>IFERROR(__xludf.DUMMYFUNCTION("LET(
  words, TRANSPOSE(SPLIT($C1109,""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)"),". over 45 points ang")</f>
        <v>. over 45 points ang</v>
      </c>
      <c r="E1109" s="39">
        <f>IFERROR(__xludf.DUMMYFUNCTION("INDEX(SPLIT($C1109,"" ""), ROW()-ROW($E$1084)+1)
"),45.0)</f>
        <v>45</v>
      </c>
      <c r="F1109" s="30" t="s">
        <v>25</v>
      </c>
      <c r="G1109" s="2"/>
      <c r="H1109" s="1" t="s">
        <v>0</v>
      </c>
      <c r="I1109" s="2"/>
      <c r="J1109" s="2"/>
      <c r="K1109" s="1" t="s">
        <v>15</v>
      </c>
    </row>
    <row r="1110" ht="15.75" customHeight="1">
      <c r="A1110" s="1">
        <v>1109.0</v>
      </c>
      <c r="B1110" s="1">
        <v>27.0</v>
      </c>
      <c r="C1110" s="4" t="s">
        <v>52</v>
      </c>
      <c r="D1110" s="38" t="str">
        <f>IFERROR(__xludf.DUMMYFUNCTION("LET(
  words, TRANSPOSE(SPLIT($C1110,""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)"),"over 45 points ang quiz")</f>
        <v>over 45 points ang quiz</v>
      </c>
      <c r="E1110" s="39" t="str">
        <f>IFERROR(__xludf.DUMMYFUNCTION("INDEX(SPLIT($C1110,"" ""), ROW()-ROW($E$1084)+1)
"),"points")</f>
        <v>points</v>
      </c>
      <c r="F1110" s="30" t="s">
        <v>18</v>
      </c>
      <c r="G1110" s="2"/>
      <c r="H1110" s="1" t="s">
        <v>0</v>
      </c>
      <c r="I1110" s="2"/>
      <c r="J1110" s="2"/>
      <c r="K1110" s="1" t="s">
        <v>15</v>
      </c>
    </row>
    <row r="1111" ht="15.75" customHeight="1">
      <c r="A1111" s="1">
        <v>1110.0</v>
      </c>
      <c r="B1111" s="1">
        <v>27.0</v>
      </c>
      <c r="C1111" s="4" t="s">
        <v>52</v>
      </c>
      <c r="D1111" s="38" t="str">
        <f>IFERROR(__xludf.DUMMYFUNCTION("LET(
  words, TRANSPOSE(SPLIT($C1111,""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)"),"45 points ang quiz 3")</f>
        <v>45 points ang quiz 3</v>
      </c>
      <c r="E1111" s="39" t="str">
        <f>IFERROR(__xludf.DUMMYFUNCTION("INDEX(SPLIT($C1111,"" ""), ROW()-ROW($E$1084)+1)
"),"ang")</f>
        <v>ang</v>
      </c>
      <c r="F1111" s="30" t="s">
        <v>16</v>
      </c>
      <c r="G1111" s="2"/>
      <c r="H1111" s="1" t="s">
        <v>0</v>
      </c>
      <c r="I1111" s="2"/>
      <c r="J1111" s="2"/>
      <c r="K1111" s="1" t="s">
        <v>15</v>
      </c>
    </row>
    <row r="1112" ht="15.75" customHeight="1">
      <c r="A1112" s="1">
        <v>1111.0</v>
      </c>
      <c r="B1112" s="1">
        <v>27.0</v>
      </c>
      <c r="C1112" s="4" t="s">
        <v>52</v>
      </c>
      <c r="D1112" s="38" t="str">
        <f>IFERROR(__xludf.DUMMYFUNCTION("LET(
  words, TRANSPOSE(SPLIT($C1112,""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)"),"points ang quiz 3 .")</f>
        <v>points ang quiz 3 .</v>
      </c>
      <c r="E1112" s="39" t="str">
        <f>IFERROR(__xludf.DUMMYFUNCTION("INDEX(SPLIT($C1112,"" ""), ROW()-ROW($E$1084)+1)
"),"quiz")</f>
        <v>quiz</v>
      </c>
      <c r="F1112" s="30" t="s">
        <v>18</v>
      </c>
      <c r="G1112" s="2"/>
      <c r="H1112" s="1" t="s">
        <v>0</v>
      </c>
      <c r="I1112" s="2"/>
      <c r="J1112" s="2"/>
      <c r="K1112" s="1" t="s">
        <v>15</v>
      </c>
    </row>
    <row r="1113" ht="15.75" customHeight="1">
      <c r="A1113" s="1">
        <v>1112.0</v>
      </c>
      <c r="B1113" s="1">
        <v>27.0</v>
      </c>
      <c r="C1113" s="4" t="s">
        <v>52</v>
      </c>
      <c r="D1113" s="38" t="str">
        <f>IFERROR(__xludf.DUMMYFUNCTION("LET(
  words, TRANSPOSE(SPLIT($C1113,""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)"),"ang quiz 3 . hindi")</f>
        <v>ang quiz 3 . hindi</v>
      </c>
      <c r="E1113" s="39">
        <f>IFERROR(__xludf.DUMMYFUNCTION("INDEX(SPLIT($C1113,"" ""), ROW()-ROW($E$1084)+1)
"),3.0)</f>
        <v>3</v>
      </c>
      <c r="F1113" s="30" t="s">
        <v>25</v>
      </c>
      <c r="G1113" s="2"/>
      <c r="H1113" s="1" t="s">
        <v>0</v>
      </c>
      <c r="I1113" s="2"/>
      <c r="J1113" s="2"/>
      <c r="K1113" s="1" t="s">
        <v>15</v>
      </c>
    </row>
    <row r="1114" ht="15.75" customHeight="1">
      <c r="A1114" s="1">
        <v>1113.0</v>
      </c>
      <c r="B1114" s="1">
        <v>27.0</v>
      </c>
      <c r="C1114" s="4" t="s">
        <v>52</v>
      </c>
      <c r="D1114" s="38" t="str">
        <f>IFERROR(__xludf.DUMMYFUNCTION("LET(
  words, TRANSPOSE(SPLIT($C1114,""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)"),"quiz 3 . hindi ko")</f>
        <v>quiz 3 . hindi ko</v>
      </c>
      <c r="E1114" s="39" t="str">
        <f>IFERROR(__xludf.DUMMYFUNCTION("INDEX(SPLIT($C1114,"" ""), ROW()-ROW($E$1084)+1)
"),".")</f>
        <v>.</v>
      </c>
      <c r="F1114" s="30" t="s">
        <v>17</v>
      </c>
      <c r="G1114" s="2"/>
      <c r="H1114" s="1" t="s">
        <v>0</v>
      </c>
      <c r="I1114" s="2"/>
      <c r="J1114" s="2"/>
      <c r="K1114" s="1" t="s">
        <v>15</v>
      </c>
    </row>
    <row r="1115" ht="15.75" customHeight="1">
      <c r="A1115" s="1">
        <v>1114.0</v>
      </c>
      <c r="B1115" s="1">
        <v>27.0</v>
      </c>
      <c r="C1115" s="4" t="s">
        <v>52</v>
      </c>
      <c r="D1115" s="38" t="str">
        <f>IFERROR(__xludf.DUMMYFUNCTION("LET(
  words, TRANSPOSE(SPLIT($C1115,""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)"),"3 . hindi ko pala")</f>
        <v>3 . hindi ko pala</v>
      </c>
      <c r="E1115" s="39" t="str">
        <f>IFERROR(__xludf.DUMMYFUNCTION("INDEX(SPLIT($C1115,"" ""), ROW()-ROW($E$1084)+1)
"),"hindi")</f>
        <v>hindi</v>
      </c>
      <c r="F1115" s="30" t="s">
        <v>16</v>
      </c>
      <c r="G1115" s="2"/>
      <c r="H1115" s="1" t="s">
        <v>0</v>
      </c>
      <c r="I1115" s="2"/>
      <c r="J1115" s="2"/>
      <c r="K1115" s="1" t="s">
        <v>15</v>
      </c>
    </row>
    <row r="1116" ht="15.75" customHeight="1">
      <c r="A1116" s="1">
        <v>1115.0</v>
      </c>
      <c r="B1116" s="1">
        <v>27.0</v>
      </c>
      <c r="C1116" s="4" t="s">
        <v>52</v>
      </c>
      <c r="D1116" s="38" t="str">
        <f>IFERROR(__xludf.DUMMYFUNCTION("LET(
  words, TRANSPOSE(SPLIT($C1116,""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)"),". hindi ko pala na-set")</f>
        <v>. hindi ko pala na-set</v>
      </c>
      <c r="E1116" s="39" t="str">
        <f>IFERROR(__xludf.DUMMYFUNCTION("INDEX(SPLIT($C1116,"" ""), ROW()-ROW($E$1084)+1)
"),"ko")</f>
        <v>ko</v>
      </c>
      <c r="F1116" s="30" t="s">
        <v>16</v>
      </c>
      <c r="G1116" s="2"/>
      <c r="H1116" s="1" t="s">
        <v>0</v>
      </c>
      <c r="I1116" s="2"/>
      <c r="J1116" s="2"/>
      <c r="K1116" s="1" t="s">
        <v>15</v>
      </c>
    </row>
    <row r="1117" ht="15.75" customHeight="1">
      <c r="A1117" s="1">
        <v>1116.0</v>
      </c>
      <c r="B1117" s="1">
        <v>27.0</v>
      </c>
      <c r="C1117" s="4" t="s">
        <v>52</v>
      </c>
      <c r="D1117" s="38" t="str">
        <f>IFERROR(__xludf.DUMMYFUNCTION("LET(
  words, TRANSPOSE(SPLIT($C1117,""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)"),"hindi ko pala na-set yung")</f>
        <v>hindi ko pala na-set yung</v>
      </c>
      <c r="E1117" s="39" t="str">
        <f>IFERROR(__xludf.DUMMYFUNCTION("INDEX(SPLIT($C1117,"" ""), ROW()-ROW($E$1084)+1)
"),"pala")</f>
        <v>pala</v>
      </c>
      <c r="F1117" s="30" t="s">
        <v>16</v>
      </c>
      <c r="G1117" s="2"/>
      <c r="H1117" s="1" t="s">
        <v>0</v>
      </c>
      <c r="I1117" s="2"/>
      <c r="J1117" s="2"/>
      <c r="K1117" s="1" t="s">
        <v>15</v>
      </c>
    </row>
    <row r="1118" ht="15.75" customHeight="1">
      <c r="A1118" s="1">
        <v>1117.0</v>
      </c>
      <c r="B1118" s="1">
        <v>27.0</v>
      </c>
      <c r="C1118" s="4" t="s">
        <v>52</v>
      </c>
      <c r="D1118" s="38" t="str">
        <f>IFERROR(__xludf.DUMMYFUNCTION("LET(
  words, TRANSPOSE(SPLIT($C1118,""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)"),"ko pala na-set yung total")</f>
        <v>ko pala na-set yung total</v>
      </c>
      <c r="E1118" s="39" t="str">
        <f>IFERROR(__xludf.DUMMYFUNCTION("INDEX(SPLIT($C1118,"" ""), ROW()-ROW($E$1084)+1)
"),"na-set")</f>
        <v>na-set</v>
      </c>
      <c r="F1118" s="30" t="s">
        <v>16</v>
      </c>
      <c r="G1118" s="2"/>
      <c r="H1118" s="1" t="s">
        <v>0</v>
      </c>
      <c r="I1118" s="2"/>
      <c r="J1118" s="2"/>
      <c r="K1118" s="1" t="s">
        <v>15</v>
      </c>
    </row>
    <row r="1119" ht="15.75" customHeight="1">
      <c r="A1119" s="1">
        <v>1118.0</v>
      </c>
      <c r="B1119" s="1">
        <v>27.0</v>
      </c>
      <c r="C1119" s="4" t="s">
        <v>52</v>
      </c>
      <c r="D1119" s="38" t="str">
        <f>IFERROR(__xludf.DUMMYFUNCTION("LET(
  words, TRANSPOSE(SPLIT($C1119,""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)"),"pala na-set yung total score")</f>
        <v>pala na-set yung total score</v>
      </c>
      <c r="E1119" s="39" t="str">
        <f>IFERROR(__xludf.DUMMYFUNCTION("INDEX(SPLIT($C1119,"" ""), ROW()-ROW($E$1084)+1)
"),"yung")</f>
        <v>yung</v>
      </c>
      <c r="F1119" s="30" t="s">
        <v>16</v>
      </c>
      <c r="G1119" s="2"/>
      <c r="H1119" s="1" t="s">
        <v>0</v>
      </c>
      <c r="I1119" s="2"/>
      <c r="J1119" s="2"/>
      <c r="K1119" s="1" t="s">
        <v>15</v>
      </c>
    </row>
    <row r="1120" ht="15.75" customHeight="1">
      <c r="A1120" s="1">
        <v>1119.0</v>
      </c>
      <c r="B1120" s="1">
        <v>27.0</v>
      </c>
      <c r="C1120" s="4" t="s">
        <v>52</v>
      </c>
      <c r="D1120" s="38" t="str">
        <f>IFERROR(__xludf.DUMMYFUNCTION("LET(
  words, TRANSPOSE(SPLIT($C1120,""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)"),"na-set yung total score to")</f>
        <v>na-set yung total score to</v>
      </c>
      <c r="E1120" s="39" t="str">
        <f>IFERROR(__xludf.DUMMYFUNCTION("INDEX(SPLIT($C1120,"" ""), ROW()-ROW($E$1084)+1)
"),"total")</f>
        <v>total</v>
      </c>
      <c r="F1120" s="30" t="s">
        <v>18</v>
      </c>
      <c r="G1120" s="2"/>
      <c r="H1120" s="1" t="s">
        <v>0</v>
      </c>
      <c r="I1120" s="2"/>
      <c r="J1120" s="2"/>
      <c r="K1120" s="1" t="s">
        <v>15</v>
      </c>
    </row>
    <row r="1121" ht="15.75" customHeight="1">
      <c r="A1121" s="1">
        <v>1120.0</v>
      </c>
      <c r="B1121" s="1">
        <v>27.0</v>
      </c>
      <c r="C1121" s="4" t="s">
        <v>52</v>
      </c>
      <c r="D1121" s="38" t="str">
        <f>IFERROR(__xludf.DUMMYFUNCTION("LET(
  words, TRANSPOSE(SPLIT($C1121,""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)"),"yung total score to 45")</f>
        <v>yung total score to 45</v>
      </c>
      <c r="E1121" s="39" t="str">
        <f>IFERROR(__xludf.DUMMYFUNCTION("INDEX(SPLIT($C1121,"" ""), ROW()-ROW($E$1084)+1)
"),"score")</f>
        <v>score</v>
      </c>
      <c r="F1121" s="30" t="s">
        <v>18</v>
      </c>
      <c r="G1121" s="2"/>
      <c r="H1121" s="1" t="s">
        <v>0</v>
      </c>
      <c r="I1121" s="2"/>
      <c r="J1121" s="2"/>
      <c r="K1121" s="1" t="s">
        <v>15</v>
      </c>
    </row>
    <row r="1122" ht="15.75" customHeight="1">
      <c r="A1122" s="1">
        <v>1121.0</v>
      </c>
      <c r="B1122" s="1">
        <v>27.0</v>
      </c>
      <c r="C1122" s="4" t="s">
        <v>52</v>
      </c>
      <c r="D1122" s="38" t="str">
        <f>IFERROR(__xludf.DUMMYFUNCTION("LET(
  words, TRANSPOSE(SPLIT($C1122,""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)"),"total score to 45 points")</f>
        <v>total score to 45 points</v>
      </c>
      <c r="E1122" s="39" t="str">
        <f>IFERROR(__xludf.DUMMYFUNCTION("INDEX(SPLIT($C1122,"" ""), ROW()-ROW($E$1084)+1)
"),"to")</f>
        <v>to</v>
      </c>
      <c r="F1122" s="30" t="s">
        <v>18</v>
      </c>
      <c r="G1122" s="2"/>
      <c r="H1122" s="1" t="s">
        <v>0</v>
      </c>
      <c r="I1122" s="2"/>
      <c r="J1122" s="2"/>
      <c r="K1122" s="1" t="s">
        <v>15</v>
      </c>
    </row>
    <row r="1123" ht="15.75" customHeight="1">
      <c r="A1123" s="1">
        <v>1122.0</v>
      </c>
      <c r="B1123" s="1">
        <v>27.0</v>
      </c>
      <c r="C1123" s="4" t="s">
        <v>52</v>
      </c>
      <c r="D1123" s="38" t="str">
        <f>IFERROR(__xludf.DUMMYFUNCTION("LET(
  words, TRANSPOSE(SPLIT($C1123,""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)"),"score to 45 points class")</f>
        <v>score to 45 points class</v>
      </c>
      <c r="E1123" s="39">
        <f>IFERROR(__xludf.DUMMYFUNCTION("INDEX(SPLIT($C1123,"" ""), ROW()-ROW($E$1084)+1)
"),45.0)</f>
        <v>45</v>
      </c>
      <c r="F1123" s="30" t="s">
        <v>25</v>
      </c>
      <c r="G1123" s="2"/>
      <c r="H1123" s="1" t="s">
        <v>0</v>
      </c>
      <c r="I1123" s="2"/>
      <c r="J1123" s="2"/>
      <c r="K1123" s="1" t="s">
        <v>15</v>
      </c>
    </row>
    <row r="1124" ht="15.75" customHeight="1">
      <c r="A1124" s="1">
        <v>1123.0</v>
      </c>
      <c r="B1124" s="1">
        <v>27.0</v>
      </c>
      <c r="C1124" s="4" t="s">
        <v>52</v>
      </c>
      <c r="D1124" s="38" t="str">
        <f>IFERROR(__xludf.DUMMYFUNCTION("LET(
  words, TRANSPOSE(SPLIT($C1124,""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)"),"to 45 points class .")</f>
        <v>to 45 points class .</v>
      </c>
      <c r="E1124" s="39" t="str">
        <f>IFERROR(__xludf.DUMMYFUNCTION("INDEX(SPLIT($C1124,"" ""), ROW()-ROW($E$1084)+1)
"),"points")</f>
        <v>points</v>
      </c>
      <c r="F1124" s="30" t="s">
        <v>18</v>
      </c>
      <c r="G1124" s="2"/>
      <c r="H1124" s="1" t="s">
        <v>0</v>
      </c>
      <c r="I1124" s="2"/>
      <c r="J1124" s="2"/>
      <c r="K1124" s="1" t="s">
        <v>15</v>
      </c>
    </row>
    <row r="1125" ht="15.75" customHeight="1">
      <c r="A1125" s="1">
        <v>1124.0</v>
      </c>
      <c r="B1125" s="1">
        <v>27.0</v>
      </c>
      <c r="C1125" s="4" t="s">
        <v>52</v>
      </c>
      <c r="D1125" s="38" t="str">
        <f>IFERROR(__xludf.DUMMYFUNCTION("LET(
  words, TRANSPOSE(SPLIT($C1125,""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)"),"45 points class . wag")</f>
        <v>45 points class . wag</v>
      </c>
      <c r="E1125" s="39" t="str">
        <f>IFERROR(__xludf.DUMMYFUNCTION("INDEX(SPLIT($C1125,"" ""), ROW()-ROW($E$1084)+1)
"),"class")</f>
        <v>class</v>
      </c>
      <c r="F1125" s="30" t="s">
        <v>18</v>
      </c>
      <c r="G1125" s="2"/>
      <c r="H1125" s="1" t="s">
        <v>0</v>
      </c>
      <c r="I1125" s="2"/>
      <c r="J1125" s="2"/>
      <c r="K1125" s="1" t="s">
        <v>15</v>
      </c>
    </row>
    <row r="1126" ht="15.75" customHeight="1">
      <c r="A1126" s="1">
        <v>1125.0</v>
      </c>
      <c r="B1126" s="1">
        <v>27.0</v>
      </c>
      <c r="C1126" s="4" t="s">
        <v>52</v>
      </c>
      <c r="D1126" s="38" t="str">
        <f>IFERROR(__xludf.DUMMYFUNCTION("LET(
  words, TRANSPOSE(SPLIT($C1126,""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)"),"points class . wag nyo")</f>
        <v>points class . wag nyo</v>
      </c>
      <c r="E1126" s="39" t="str">
        <f>IFERROR(__xludf.DUMMYFUNCTION("INDEX(SPLIT($C1126,"" ""), ROW()-ROW($E$1084)+1)
"),".")</f>
        <v>.</v>
      </c>
      <c r="F1126" s="30" t="s">
        <v>17</v>
      </c>
      <c r="G1126" s="2"/>
      <c r="H1126" s="1" t="s">
        <v>0</v>
      </c>
      <c r="I1126" s="2"/>
      <c r="J1126" s="2"/>
      <c r="K1126" s="1" t="s">
        <v>15</v>
      </c>
    </row>
    <row r="1127" ht="15.75" customHeight="1">
      <c r="A1127" s="1">
        <v>1126.0</v>
      </c>
      <c r="B1127" s="1">
        <v>27.0</v>
      </c>
      <c r="C1127" s="4" t="s">
        <v>52</v>
      </c>
      <c r="D1127" s="38" t="str">
        <f>IFERROR(__xludf.DUMMYFUNCTION("LET(
  words, TRANSPOSE(SPLIT($C1127,""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)"),"class . wag nyo i-assume")</f>
        <v>class . wag nyo i-assume</v>
      </c>
      <c r="E1127" s="39" t="str">
        <f>IFERROR(__xludf.DUMMYFUNCTION("INDEX(SPLIT($C1127,"" ""), ROW()-ROW($E$1084)+1)
"),"wag")</f>
        <v>wag</v>
      </c>
      <c r="F1127" s="30" t="s">
        <v>16</v>
      </c>
      <c r="G1127" s="2"/>
      <c r="H1127" s="1" t="s">
        <v>0</v>
      </c>
      <c r="I1127" s="2"/>
      <c r="J1127" s="2"/>
      <c r="K1127" s="1" t="s">
        <v>15</v>
      </c>
    </row>
    <row r="1128" ht="15.75" customHeight="1">
      <c r="A1128" s="1">
        <v>1127.0</v>
      </c>
      <c r="B1128" s="1">
        <v>27.0</v>
      </c>
      <c r="C1128" s="4" t="s">
        <v>52</v>
      </c>
      <c r="D1128" s="38" t="str">
        <f>IFERROR(__xludf.DUMMYFUNCTION("LET(
  words, TRANSPOSE(SPLIT($C1128,""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)"),". wag nyo i-assume na")</f>
        <v>. wag nyo i-assume na</v>
      </c>
      <c r="E1128" s="39" t="str">
        <f>IFERROR(__xludf.DUMMYFUNCTION("INDEX(SPLIT($C1128,"" ""), ROW()-ROW($E$1084)+1)
"),"nyo")</f>
        <v>nyo</v>
      </c>
      <c r="F1128" s="30" t="s">
        <v>16</v>
      </c>
      <c r="G1128" s="2"/>
      <c r="H1128" s="1" t="s">
        <v>0</v>
      </c>
      <c r="I1128" s="2"/>
      <c r="J1128" s="2"/>
      <c r="K1128" s="1" t="s">
        <v>15</v>
      </c>
    </row>
    <row r="1129" ht="15.75" customHeight="1">
      <c r="A1129" s="1">
        <v>1128.0</v>
      </c>
      <c r="B1129" s="1">
        <v>27.0</v>
      </c>
      <c r="C1129" s="4" t="s">
        <v>52</v>
      </c>
      <c r="D1129" s="38" t="str">
        <f>IFERROR(__xludf.DUMMYFUNCTION("LET(
  words, TRANSPOSE(SPLIT($C1129,""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)"),"wag nyo i-assume na over")</f>
        <v>wag nyo i-assume na over</v>
      </c>
      <c r="E1129" s="39" t="str">
        <f>IFERROR(__xludf.DUMMYFUNCTION("INDEX(SPLIT($C1129,"" ""), ROW()-ROW($E$1084)+1)
"),"i-assume")</f>
        <v>i-assume</v>
      </c>
      <c r="F1129" s="30" t="s">
        <v>16</v>
      </c>
      <c r="G1129" s="2"/>
      <c r="H1129" s="1" t="s">
        <v>0</v>
      </c>
      <c r="I1129" s="2"/>
      <c r="J1129" s="2"/>
      <c r="K1129" s="1" t="s">
        <v>15</v>
      </c>
    </row>
    <row r="1130" ht="15.75" customHeight="1">
      <c r="A1130" s="1">
        <v>1129.0</v>
      </c>
      <c r="B1130" s="1">
        <v>27.0</v>
      </c>
      <c r="C1130" s="4" t="s">
        <v>52</v>
      </c>
      <c r="D1130" s="38" t="str">
        <f>IFERROR(__xludf.DUMMYFUNCTION("LET(
  words, TRANSPOSE(SPLIT($C1130,""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)"),"nyo i-assume na over 0")</f>
        <v>nyo i-assume na over 0</v>
      </c>
      <c r="E1130" s="39" t="str">
        <f>IFERROR(__xludf.DUMMYFUNCTION("INDEX(SPLIT($C1130,"" ""), ROW()-ROW($E$1084)+1)
"),"na")</f>
        <v>na</v>
      </c>
      <c r="F1130" s="30" t="s">
        <v>16</v>
      </c>
      <c r="G1130" s="2"/>
      <c r="H1130" s="1" t="s">
        <v>0</v>
      </c>
      <c r="I1130" s="2"/>
      <c r="J1130" s="2"/>
      <c r="K1130" s="1" t="s">
        <v>15</v>
      </c>
    </row>
    <row r="1131" ht="15.75" customHeight="1">
      <c r="A1131" s="1">
        <v>1130.0</v>
      </c>
      <c r="B1131" s="1">
        <v>27.0</v>
      </c>
      <c r="C1131" s="4" t="s">
        <v>52</v>
      </c>
      <c r="D1131" s="38" t="str">
        <f>IFERROR(__xludf.DUMMYFUNCTION("LET(
  words, TRANSPOSE(SPLIT($C1131,""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)"),"i-assume na over 0 kasi")</f>
        <v>i-assume na over 0 kasi</v>
      </c>
      <c r="E1131" s="39" t="str">
        <f>IFERROR(__xludf.DUMMYFUNCTION("INDEX(SPLIT($C1131,"" ""), ROW()-ROW($E$1084)+1)
"),"over")</f>
        <v>over</v>
      </c>
      <c r="F1131" s="30" t="s">
        <v>18</v>
      </c>
      <c r="G1131" s="2"/>
      <c r="H1131" s="1" t="s">
        <v>0</v>
      </c>
      <c r="I1131" s="2"/>
      <c r="J1131" s="2"/>
      <c r="K1131" s="1" t="s">
        <v>15</v>
      </c>
    </row>
    <row r="1132" ht="15.75" customHeight="1">
      <c r="A1132" s="1">
        <v>1131.0</v>
      </c>
      <c r="B1132" s="1">
        <v>27.0</v>
      </c>
      <c r="C1132" s="4" t="s">
        <v>52</v>
      </c>
      <c r="D1132" s="38" t="str">
        <f>IFERROR(__xludf.DUMMYFUNCTION("LET(
  words, TRANSPOSE(SPLIT($C1132,""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)"),"na over 0 kasi magiging")</f>
        <v>na over 0 kasi magiging</v>
      </c>
      <c r="E1132" s="39">
        <f>IFERROR(__xludf.DUMMYFUNCTION("INDEX(SPLIT($C1132,"" ""), ROW()-ROW($E$1084)+1)
"),0.0)</f>
        <v>0</v>
      </c>
      <c r="F1132" s="30" t="s">
        <v>25</v>
      </c>
      <c r="G1132" s="2"/>
      <c r="H1132" s="1" t="s">
        <v>0</v>
      </c>
      <c r="I1132" s="2"/>
      <c r="J1132" s="2"/>
      <c r="K1132" s="1" t="s">
        <v>15</v>
      </c>
    </row>
    <row r="1133" ht="15.75" customHeight="1">
      <c r="A1133" s="1">
        <v>1132.0</v>
      </c>
      <c r="B1133" s="1">
        <v>27.0</v>
      </c>
      <c r="C1133" s="4" t="s">
        <v>52</v>
      </c>
      <c r="D1133" s="38" t="str">
        <f>IFERROR(__xludf.DUMMYFUNCTION("LET(
  words, TRANSPOSE(SPLIT($C1133,""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)"),"over 0 kasi magiging infinity")</f>
        <v>over 0 kasi magiging infinity</v>
      </c>
      <c r="E1133" s="39" t="str">
        <f>IFERROR(__xludf.DUMMYFUNCTION("INDEX(SPLIT($C1133,"" ""), ROW()-ROW($E$1084)+1)
"),"kasi")</f>
        <v>kasi</v>
      </c>
      <c r="F1133" s="30" t="s">
        <v>16</v>
      </c>
      <c r="G1133" s="2"/>
      <c r="H1133" s="1" t="s">
        <v>0</v>
      </c>
      <c r="I1133" s="2"/>
      <c r="J1133" s="2"/>
      <c r="K1133" s="1" t="s">
        <v>15</v>
      </c>
    </row>
    <row r="1134" ht="15.75" customHeight="1">
      <c r="A1134" s="1">
        <v>1133.0</v>
      </c>
      <c r="B1134" s="1">
        <v>27.0</v>
      </c>
      <c r="C1134" s="4" t="s">
        <v>52</v>
      </c>
      <c r="D1134" s="38" t="str">
        <f>IFERROR(__xludf.DUMMYFUNCTION("LET(
  words, TRANSPOSE(SPLIT($C1134,""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)"),"0 kasi magiging infinity ang")</f>
        <v>0 kasi magiging infinity ang</v>
      </c>
      <c r="E1134" s="39" t="str">
        <f>IFERROR(__xludf.DUMMYFUNCTION("INDEX(SPLIT($C1134,"" ""), ROW()-ROW($E$1084)+1)
"),"magiging")</f>
        <v>magiging</v>
      </c>
      <c r="F1134" s="30" t="s">
        <v>16</v>
      </c>
      <c r="G1134" s="2"/>
      <c r="H1134" s="1" t="s">
        <v>0</v>
      </c>
      <c r="I1134" s="2"/>
      <c r="J1134" s="2"/>
      <c r="K1134" s="1" t="s">
        <v>15</v>
      </c>
    </row>
    <row r="1135" ht="15.75" customHeight="1">
      <c r="A1135" s="1">
        <v>1134.0</v>
      </c>
      <c r="B1135" s="1">
        <v>27.0</v>
      </c>
      <c r="C1135" s="4" t="s">
        <v>52</v>
      </c>
      <c r="D1135" s="38" t="str">
        <f>IFERROR(__xludf.DUMMYFUNCTION("LET(
  words, TRANSPOSE(SPLIT($C1135,""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)"),"kasi magiging infinity ang grades")</f>
        <v>kasi magiging infinity ang grades</v>
      </c>
      <c r="E1135" s="39" t="str">
        <f>IFERROR(__xludf.DUMMYFUNCTION("INDEX(SPLIT($C1135,"" ""), ROW()-ROW($E$1084)+1)
"),"infinity")</f>
        <v>infinity</v>
      </c>
      <c r="F1135" s="30" t="s">
        <v>18</v>
      </c>
      <c r="G1135" s="2"/>
      <c r="H1135" s="1" t="s">
        <v>0</v>
      </c>
      <c r="I1135" s="2"/>
      <c r="J1135" s="2"/>
      <c r="K1135" s="1" t="s">
        <v>15</v>
      </c>
    </row>
    <row r="1136" ht="15.75" customHeight="1">
      <c r="A1136" s="1">
        <v>1135.0</v>
      </c>
      <c r="B1136" s="1">
        <v>27.0</v>
      </c>
      <c r="C1136" s="4" t="s">
        <v>52</v>
      </c>
      <c r="D1136" s="38" t="str">
        <f>IFERROR(__xludf.DUMMYFUNCTION("LET(
  words, TRANSPOSE(SPLIT($C1136,""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)"),"magiging infinity ang grades nyo")</f>
        <v>magiging infinity ang grades nyo</v>
      </c>
      <c r="E1136" s="39" t="str">
        <f>IFERROR(__xludf.DUMMYFUNCTION("INDEX(SPLIT($C1136,"" ""), ROW()-ROW($E$1084)+1)
"),"ang")</f>
        <v>ang</v>
      </c>
      <c r="F1136" s="30" t="s">
        <v>16</v>
      </c>
      <c r="G1136" s="2"/>
      <c r="H1136" s="1" t="s">
        <v>0</v>
      </c>
      <c r="I1136" s="2"/>
      <c r="J1136" s="2"/>
      <c r="K1136" s="1" t="s">
        <v>15</v>
      </c>
    </row>
    <row r="1137" ht="15.75" customHeight="1">
      <c r="A1137" s="1">
        <v>1136.0</v>
      </c>
      <c r="B1137" s="1">
        <v>27.0</v>
      </c>
      <c r="C1137" s="4" t="s">
        <v>52</v>
      </c>
      <c r="D1137" s="38" t="str">
        <f>IFERROR(__xludf.DUMMYFUNCTION("LET(
  words, TRANSPOSE(SPLIT($C1137,""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)"),"infinity ang grades nyo .")</f>
        <v>infinity ang grades nyo .</v>
      </c>
      <c r="E1137" s="39" t="str">
        <f>IFERROR(__xludf.DUMMYFUNCTION("INDEX(SPLIT($C1137,"" ""), ROW()-ROW($E$1084)+1)
"),"grades")</f>
        <v>grades</v>
      </c>
      <c r="F1137" s="30" t="s">
        <v>18</v>
      </c>
      <c r="G1137" s="2"/>
      <c r="H1137" s="1" t="s">
        <v>0</v>
      </c>
      <c r="I1137" s="2"/>
      <c r="J1137" s="2"/>
      <c r="K1137" s="1" t="s">
        <v>15</v>
      </c>
    </row>
    <row r="1138" ht="15.75" customHeight="1">
      <c r="A1138" s="1">
        <v>1137.0</v>
      </c>
      <c r="B1138" s="1">
        <v>27.0</v>
      </c>
      <c r="C1138" s="4" t="s">
        <v>52</v>
      </c>
      <c r="D1138" s="38" t="str">
        <f>IFERROR(__xludf.DUMMYFUNCTION("LET(
  words, TRANSPOSE(SPLIT($C1138,""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)"),"ang grades nyo . ano")</f>
        <v>ang grades nyo . ano</v>
      </c>
      <c r="E1138" s="39" t="str">
        <f>IFERROR(__xludf.DUMMYFUNCTION("INDEX(SPLIT($C1138,"" ""), ROW()-ROW($E$1084)+1)
"),"nyo")</f>
        <v>nyo</v>
      </c>
      <c r="F1138" s="30" t="s">
        <v>16</v>
      </c>
      <c r="G1138" s="2"/>
      <c r="H1138" s="1" t="s">
        <v>0</v>
      </c>
      <c r="I1138" s="2"/>
      <c r="J1138" s="2"/>
      <c r="K1138" s="1" t="s">
        <v>15</v>
      </c>
    </row>
    <row r="1139" ht="15.75" customHeight="1">
      <c r="A1139" s="1">
        <v>1138.0</v>
      </c>
      <c r="B1139" s="1">
        <v>27.0</v>
      </c>
      <c r="C1139" s="4" t="s">
        <v>52</v>
      </c>
      <c r="D1139" s="38" t="str">
        <f>IFERROR(__xludf.DUMMYFUNCTION("LET(
  words, TRANSPOSE(SPLIT($C1139,""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)"),"grades nyo . ano kayo")</f>
        <v>grades nyo . ano kayo</v>
      </c>
      <c r="E1139" s="39" t="str">
        <f>IFERROR(__xludf.DUMMYFUNCTION("INDEX(SPLIT($C1139,"" ""), ROW()-ROW($E$1084)+1)
"),".")</f>
        <v>.</v>
      </c>
      <c r="F1139" s="30" t="s">
        <v>17</v>
      </c>
      <c r="G1139" s="2"/>
      <c r="H1139" s="1" t="s">
        <v>0</v>
      </c>
      <c r="I1139" s="2"/>
      <c r="J1139" s="2"/>
      <c r="K1139" s="1" t="s">
        <v>15</v>
      </c>
    </row>
    <row r="1140" ht="15.75" customHeight="1">
      <c r="A1140" s="1">
        <v>1139.0</v>
      </c>
      <c r="B1140" s="1">
        <v>27.0</v>
      </c>
      <c r="C1140" s="4" t="s">
        <v>52</v>
      </c>
      <c r="D1140" s="38" t="str">
        <f>IFERROR(__xludf.DUMMYFUNCTION("LET(
  words, TRANSPOSE(SPLIT($C1140,""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)"),"nyo . ano kayo ,")</f>
        <v>nyo . ano kayo ,</v>
      </c>
      <c r="E1140" s="39" t="str">
        <f>IFERROR(__xludf.DUMMYFUNCTION("INDEX(SPLIT($C1140,"" ""), ROW()-ROW($E$1084)+1)
"),"ano")</f>
        <v>ano</v>
      </c>
      <c r="F1140" s="30" t="s">
        <v>16</v>
      </c>
      <c r="G1140" s="2"/>
      <c r="H1140" s="1" t="s">
        <v>0</v>
      </c>
      <c r="I1140" s="2"/>
      <c r="J1140" s="2"/>
      <c r="K1140" s="1" t="s">
        <v>15</v>
      </c>
    </row>
    <row r="1141" ht="15.75" customHeight="1">
      <c r="A1141" s="1">
        <v>1140.0</v>
      </c>
      <c r="B1141" s="1">
        <v>27.0</v>
      </c>
      <c r="C1141" s="4" t="s">
        <v>52</v>
      </c>
      <c r="D1141" s="38" t="str">
        <f>IFERROR(__xludf.DUMMYFUNCTION("LET(
  words, TRANSPOSE(SPLIT($C1141,""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)"),". ano kayo , si")</f>
        <v>. ano kayo , si</v>
      </c>
      <c r="E1141" s="39" t="str">
        <f>IFERROR(__xludf.DUMMYFUNCTION("INDEX(SPLIT($C1141,"" ""), ROW()-ROW($E$1084)+1)
"),"kayo")</f>
        <v>kayo</v>
      </c>
      <c r="F1141" s="30" t="s">
        <v>16</v>
      </c>
      <c r="G1141" s="2"/>
      <c r="H1141" s="1" t="s">
        <v>0</v>
      </c>
      <c r="I1141" s="2"/>
      <c r="J1141" s="2"/>
      <c r="K1141" s="1" t="s">
        <v>15</v>
      </c>
    </row>
    <row r="1142" ht="15.75" customHeight="1">
      <c r="A1142" s="1">
        <v>1141.0</v>
      </c>
      <c r="B1142" s="1">
        <v>27.0</v>
      </c>
      <c r="C1142" s="4" t="s">
        <v>52</v>
      </c>
      <c r="D1142" s="38" t="str">
        <f>IFERROR(__xludf.DUMMYFUNCTION("LET(
  words, TRANSPOSE(SPLIT($C1142,""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)"),"ano kayo , si Lord")</f>
        <v>ano kayo , si Lord</v>
      </c>
      <c r="E1142" s="39" t="str">
        <f>IFERROR(__xludf.DUMMYFUNCTION("INDEX(SPLIT($C1142,"" ""), ROW()-ROW($E$1084)+1)
"),",")</f>
        <v>,</v>
      </c>
      <c r="F1142" s="30" t="s">
        <v>17</v>
      </c>
      <c r="G1142" s="2"/>
      <c r="H1142" s="1" t="s">
        <v>0</v>
      </c>
      <c r="I1142" s="2"/>
      <c r="J1142" s="2"/>
      <c r="K1142" s="1" t="s">
        <v>15</v>
      </c>
    </row>
    <row r="1143" ht="15.75" customHeight="1">
      <c r="A1143" s="1">
        <v>1142.0</v>
      </c>
      <c r="B1143" s="1">
        <v>27.0</v>
      </c>
      <c r="C1143" s="4" t="s">
        <v>52</v>
      </c>
      <c r="D1143" s="38" t="str">
        <f>IFERROR(__xludf.DUMMYFUNCTION("LET(
  words, TRANSPOSE(SPLIT($C1143,""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)"),"kayo , si Lord na")</f>
        <v>kayo , si Lord na</v>
      </c>
      <c r="E1143" s="39" t="str">
        <f>IFERROR(__xludf.DUMMYFUNCTION("INDEX(SPLIT($C1143,"" ""), ROW()-ROW($E$1084)+1)
"),"si")</f>
        <v>si</v>
      </c>
      <c r="F1143" s="30" t="s">
        <v>16</v>
      </c>
      <c r="G1143" s="2"/>
      <c r="H1143" s="1" t="s">
        <v>0</v>
      </c>
      <c r="I1143" s="2"/>
      <c r="J1143" s="2"/>
      <c r="K1143" s="1" t="s">
        <v>15</v>
      </c>
    </row>
    <row r="1144" ht="15.75" customHeight="1">
      <c r="A1144" s="1">
        <v>1143.0</v>
      </c>
      <c r="B1144" s="1">
        <v>27.0</v>
      </c>
      <c r="C1144" s="4" t="s">
        <v>52</v>
      </c>
      <c r="D1144" s="38" t="str">
        <f>IFERROR(__xludf.DUMMYFUNCTION("LET(
  words, TRANSPOSE(SPLIT($C1144,""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)"),", si Lord na omniscient")</f>
        <v>, si Lord na omniscient</v>
      </c>
      <c r="E1144" s="39" t="str">
        <f>IFERROR(__xludf.DUMMYFUNCTION("INDEX(SPLIT($C1144,"" ""), ROW()-ROW($E$1084)+1)
"),"Lord")</f>
        <v>Lord</v>
      </c>
      <c r="F1144" s="30" t="s">
        <v>18</v>
      </c>
      <c r="G1144" s="2"/>
      <c r="H1144" s="1" t="s">
        <v>0</v>
      </c>
      <c r="I1144" s="2"/>
      <c r="J1144" s="2"/>
      <c r="K1144" s="1" t="s">
        <v>15</v>
      </c>
    </row>
    <row r="1145" ht="15.75" customHeight="1">
      <c r="A1145" s="1">
        <v>1144.0</v>
      </c>
      <c r="B1145" s="1">
        <v>27.0</v>
      </c>
      <c r="C1145" s="4" t="s">
        <v>52</v>
      </c>
      <c r="D1145" s="38" t="str">
        <f>IFERROR(__xludf.DUMMYFUNCTION("LET(
  words, TRANSPOSE(SPLIT($C1145,""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)"),"si Lord na omniscient ?")</f>
        <v>si Lord na omniscient ?</v>
      </c>
      <c r="E1145" s="39" t="str">
        <f>IFERROR(__xludf.DUMMYFUNCTION("INDEX(SPLIT($C1145,"" ""), ROW()-ROW($E$1084)+1)
"),"na")</f>
        <v>na</v>
      </c>
      <c r="F1145" s="30" t="s">
        <v>16</v>
      </c>
      <c r="G1145" s="2"/>
      <c r="H1145" s="1" t="s">
        <v>0</v>
      </c>
      <c r="I1145" s="2"/>
      <c r="J1145" s="2"/>
      <c r="K1145" s="1" t="s">
        <v>15</v>
      </c>
    </row>
    <row r="1146" ht="15.75" customHeight="1">
      <c r="A1146" s="1">
        <v>1145.0</v>
      </c>
      <c r="B1146" s="1">
        <v>27.0</v>
      </c>
      <c r="C1146" s="4" t="s">
        <v>52</v>
      </c>
      <c r="D1146" s="38" t="str">
        <f>IFERROR(__xludf.DUMMYFUNCTION("LET(
  words, TRANSPOSE(SPLIT($C1146,""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)"),"Lord na omniscient ? !")</f>
        <v>Lord na omniscient ? !</v>
      </c>
      <c r="E1146" s="39" t="str">
        <f>IFERROR(__xludf.DUMMYFUNCTION("INDEX(SPLIT($C1146,"" ""), ROW()-ROW($E$1084)+1)
"),"omniscient")</f>
        <v>omniscient</v>
      </c>
      <c r="F1146" s="30" t="s">
        <v>18</v>
      </c>
      <c r="G1146" s="2"/>
      <c r="H1146" s="1" t="s">
        <v>0</v>
      </c>
      <c r="I1146" s="2"/>
      <c r="J1146" s="2"/>
      <c r="K1146" s="1" t="s">
        <v>15</v>
      </c>
    </row>
    <row r="1147" ht="15.75" customHeight="1">
      <c r="A1147" s="1">
        <v>1146.0</v>
      </c>
      <c r="B1147" s="1">
        <v>27.0</v>
      </c>
      <c r="C1147" s="4" t="s">
        <v>52</v>
      </c>
      <c r="D1147" s="38" t="str">
        <f>IFERROR(__xludf.DUMMYFUNCTION("LET(
  words, TRANSPOSE(SPLIT($C1147,""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)"),"na omniscient ? ! ?")</f>
        <v>na omniscient ? ! ?</v>
      </c>
      <c r="E1147" s="39" t="str">
        <f>IFERROR(__xludf.DUMMYFUNCTION("INDEX(SPLIT($C1147,"" ""), ROW()-ROW($E$1084)+1)
"),"?")</f>
        <v>?</v>
      </c>
      <c r="F1147" s="30" t="s">
        <v>17</v>
      </c>
      <c r="G1147" s="2"/>
      <c r="H1147" s="1" t="s">
        <v>0</v>
      </c>
      <c r="I1147" s="2"/>
      <c r="J1147" s="2"/>
      <c r="K1147" s="1" t="s">
        <v>15</v>
      </c>
    </row>
    <row r="1148" ht="15.75" customHeight="1">
      <c r="A1148" s="1">
        <v>1147.0</v>
      </c>
      <c r="B1148" s="1">
        <v>27.0</v>
      </c>
      <c r="C1148" s="4" t="s">
        <v>52</v>
      </c>
      <c r="D1148" s="38" t="str">
        <f>IFERROR(__xludf.DUMMYFUNCTION("LET(
  words, TRANSPOSE(SPLIT($C1148,""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)"),"omniscient ? ! ?")</f>
        <v>omniscient ? ! ?</v>
      </c>
      <c r="E1148" s="39" t="str">
        <f>IFERROR(__xludf.DUMMYFUNCTION("INDEX(SPLIT($C1148,"" ""), ROW()-ROW($E$1084)+1)
"),"!")</f>
        <v>!</v>
      </c>
      <c r="F1148" s="30" t="s">
        <v>17</v>
      </c>
      <c r="G1148" s="2"/>
      <c r="H1148" s="1" t="s">
        <v>0</v>
      </c>
      <c r="I1148" s="2"/>
      <c r="J1148" s="2"/>
      <c r="K1148" s="1" t="s">
        <v>15</v>
      </c>
    </row>
    <row r="1149" ht="15.75" customHeight="1">
      <c r="A1149" s="10">
        <v>1148.0</v>
      </c>
      <c r="B1149" s="10">
        <v>27.0</v>
      </c>
      <c r="C1149" s="7" t="s">
        <v>52</v>
      </c>
      <c r="D1149" s="40" t="str">
        <f>IFERROR(__xludf.DUMMYFUNCTION("LET(
  words, TRANSPOSE(SPLIT($C1149,"" "")),
  n, ROWS(words),
  i, ROW() - ROW($D$1084)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)"),"? ! ?")</f>
        <v>? ! ?</v>
      </c>
      <c r="E1149" s="41" t="str">
        <f>IFERROR(__xludf.DUMMYFUNCTION("INDEX(SPLIT($C1149,"" ""), ROW()-ROW($E$1084)+1)
"),"?")</f>
        <v>?</v>
      </c>
      <c r="F1149" s="32" t="s">
        <v>17</v>
      </c>
      <c r="G1149" s="6"/>
      <c r="H1149" s="10" t="s">
        <v>0</v>
      </c>
      <c r="I1149" s="6"/>
      <c r="J1149" s="6"/>
      <c r="K1149" s="10" t="s">
        <v>15</v>
      </c>
      <c r="L1149" s="6"/>
    </row>
    <row r="1150" ht="15.75" customHeight="1">
      <c r="A1150" s="1">
        <v>1149.0</v>
      </c>
      <c r="B1150" s="1">
        <v>28.0</v>
      </c>
      <c r="C1150" s="4" t="s">
        <v>53</v>
      </c>
      <c r="D1150" s="38" t="str">
        <f>IFERROR(__xludf.DUMMYFUNCTION("LET(
  words, TRANSPOSE(SPLIT($C1150,""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)"),"isa sa mga")</f>
        <v>isa sa mga</v>
      </c>
      <c r="E1150" s="39" t="str">
        <f>IFERROR(__xludf.DUMMYFUNCTION("INDEX(SPLIT($C1150,"" ""), ROW()-ROW($E$1150)+1)
"),"isa")</f>
        <v>isa</v>
      </c>
      <c r="F1150" s="30" t="s">
        <v>16</v>
      </c>
      <c r="G1150" s="2"/>
      <c r="H1150" s="1" t="s">
        <v>0</v>
      </c>
      <c r="I1150" s="2"/>
      <c r="J1150" s="2"/>
      <c r="K1150" s="1" t="s">
        <v>15</v>
      </c>
    </row>
    <row r="1151" ht="15.75" customHeight="1">
      <c r="A1151" s="1">
        <v>1150.0</v>
      </c>
      <c r="B1151" s="1">
        <v>28.0</v>
      </c>
      <c r="C1151" s="4" t="s">
        <v>53</v>
      </c>
      <c r="D1151" s="38" t="str">
        <f>IFERROR(__xludf.DUMMYFUNCTION("LET(
  words, TRANSPOSE(SPLIT($C1151,""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)"),"isa sa mga nagkomento")</f>
        <v>isa sa mga nagkomento</v>
      </c>
      <c r="E1151" s="39" t="str">
        <f>IFERROR(__xludf.DUMMYFUNCTION("INDEX(SPLIT($C1151,"" ""), ROW()-ROW($E$1150)+1)
"),"sa")</f>
        <v>sa</v>
      </c>
      <c r="F1151" s="30" t="s">
        <v>16</v>
      </c>
      <c r="G1151" s="2"/>
      <c r="H1151" s="1" t="s">
        <v>0</v>
      </c>
      <c r="I1151" s="2"/>
      <c r="J1151" s="2"/>
      <c r="K1151" s="1" t="s">
        <v>15</v>
      </c>
    </row>
    <row r="1152" ht="15.75" customHeight="1">
      <c r="A1152" s="1">
        <v>1151.0</v>
      </c>
      <c r="B1152" s="1">
        <v>28.0</v>
      </c>
      <c r="C1152" s="4" t="s">
        <v>53</v>
      </c>
      <c r="D1152" s="38" t="str">
        <f>IFERROR(__xludf.DUMMYFUNCTION("LET(
  words, TRANSPOSE(SPLIT($C1152,""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)"),"isa sa mga nagkomento ang")</f>
        <v>isa sa mga nagkomento ang</v>
      </c>
      <c r="E1152" s="39" t="str">
        <f>IFERROR(__xludf.DUMMYFUNCTION("INDEX(SPLIT($C1152,"" ""), ROW()-ROW($E$1150)+1)
"),"mga")</f>
        <v>mga</v>
      </c>
      <c r="F1152" s="30" t="s">
        <v>16</v>
      </c>
      <c r="G1152" s="2"/>
      <c r="H1152" s="1" t="s">
        <v>0</v>
      </c>
      <c r="I1152" s="2"/>
      <c r="J1152" s="2"/>
      <c r="K1152" s="1" t="s">
        <v>15</v>
      </c>
    </row>
    <row r="1153" ht="15.75" customHeight="1">
      <c r="A1153" s="1">
        <v>1152.0</v>
      </c>
      <c r="B1153" s="1">
        <v>28.0</v>
      </c>
      <c r="C1153" s="4" t="s">
        <v>53</v>
      </c>
      <c r="D1153" s="38" t="str">
        <f>IFERROR(__xludf.DUMMYFUNCTION("LET(
  words, TRANSPOSE(SPLIT($C1153,""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)"),"sa mga nagkomento ang nagsabing")</f>
        <v>sa mga nagkomento ang nagsabing</v>
      </c>
      <c r="E1153" s="39" t="str">
        <f>IFERROR(__xludf.DUMMYFUNCTION("INDEX(SPLIT($C1153,"" ""), ROW()-ROW($E$1150)+1)
"),"nagkomento")</f>
        <v>nagkomento</v>
      </c>
      <c r="F1153" s="30" t="s">
        <v>16</v>
      </c>
      <c r="G1153" s="2"/>
      <c r="H1153" s="1" t="s">
        <v>0</v>
      </c>
      <c r="I1153" s="2"/>
      <c r="J1153" s="2"/>
      <c r="K1153" s="1" t="s">
        <v>15</v>
      </c>
    </row>
    <row r="1154" ht="15.75" customHeight="1">
      <c r="A1154" s="1">
        <v>1153.0</v>
      </c>
      <c r="B1154" s="1">
        <v>28.0</v>
      </c>
      <c r="C1154" s="4" t="s">
        <v>53</v>
      </c>
      <c r="D1154" s="38" t="str">
        <f>IFERROR(__xludf.DUMMYFUNCTION("LET(
  words, TRANSPOSE(SPLIT($C1154,""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)"),"mga nagkomento ang nagsabing ,")</f>
        <v>mga nagkomento ang nagsabing ,</v>
      </c>
      <c r="E1154" s="39" t="str">
        <f>IFERROR(__xludf.DUMMYFUNCTION("INDEX(SPLIT($C1154,"" ""), ROW()-ROW($E$1150)+1)
"),"ang")</f>
        <v>ang</v>
      </c>
      <c r="F1154" s="30" t="s">
        <v>16</v>
      </c>
      <c r="G1154" s="2"/>
      <c r="H1154" s="1" t="s">
        <v>0</v>
      </c>
      <c r="I1154" s="2"/>
      <c r="J1154" s="2"/>
      <c r="K1154" s="1" t="s">
        <v>15</v>
      </c>
    </row>
    <row r="1155" ht="15.75" customHeight="1">
      <c r="A1155" s="1">
        <v>1154.0</v>
      </c>
      <c r="B1155" s="1">
        <v>28.0</v>
      </c>
      <c r="C1155" s="4" t="s">
        <v>53</v>
      </c>
      <c r="D1155" s="38" t="str">
        <f>IFERROR(__xludf.DUMMYFUNCTION("LET(
  words, TRANSPOSE(SPLIT($C1155,""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)"),"nagkomento ang nagsabing , """)</f>
        <v>nagkomento ang nagsabing , "</v>
      </c>
      <c r="E1155" s="39" t="str">
        <f>IFERROR(__xludf.DUMMYFUNCTION("INDEX(SPLIT($C1155,"" ""), ROW()-ROW($E$1150)+1)
"),"nagsabing")</f>
        <v>nagsabing</v>
      </c>
      <c r="F1155" s="30" t="s">
        <v>16</v>
      </c>
      <c r="G1155" s="2"/>
      <c r="H1155" s="1" t="s">
        <v>0</v>
      </c>
      <c r="I1155" s="2"/>
      <c r="J1155" s="2"/>
      <c r="K1155" s="1" t="s">
        <v>15</v>
      </c>
    </row>
    <row r="1156" ht="15.75" customHeight="1">
      <c r="A1156" s="1">
        <v>1155.0</v>
      </c>
      <c r="B1156" s="1">
        <v>28.0</v>
      </c>
      <c r="C1156" s="4" t="s">
        <v>53</v>
      </c>
      <c r="D1156" s="38" t="str">
        <f>IFERROR(__xludf.DUMMYFUNCTION("LET(
  words, TRANSPOSE(SPLIT($C1156,""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)"),"ang nagsabing , "" So")</f>
        <v>ang nagsabing , " So</v>
      </c>
      <c r="E1156" s="39" t="str">
        <f>IFERROR(__xludf.DUMMYFUNCTION("INDEX(SPLIT($C1156,"" ""), ROW()-ROW($E$1150)+1)
"),",")</f>
        <v>,</v>
      </c>
      <c r="F1156" s="30" t="s">
        <v>17</v>
      </c>
      <c r="G1156" s="2"/>
      <c r="H1156" s="1" t="s">
        <v>0</v>
      </c>
      <c r="I1156" s="2"/>
      <c r="J1156" s="2"/>
      <c r="K1156" s="1" t="s">
        <v>15</v>
      </c>
    </row>
    <row r="1157" ht="15.75" customHeight="1">
      <c r="A1157" s="1">
        <v>1156.0</v>
      </c>
      <c r="B1157" s="1">
        <v>28.0</v>
      </c>
      <c r="C1157" s="4" t="s">
        <v>53</v>
      </c>
      <c r="D1157" s="38" t="str">
        <f>IFERROR(__xludf.DUMMYFUNCTION("LET(
  words, TRANSPOSE(SPLIT($C1157,""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)"),"nagsabing , "" So TRUE")</f>
        <v>nagsabing , " So TRUE</v>
      </c>
      <c r="E1157" s="39" t="str">
        <f>IFERROR(__xludf.DUMMYFUNCTION("INDEX(SPLIT($C1157,"" ""), ROW()-ROW($E$1150)+1)
"),"""")</f>
        <v>"</v>
      </c>
      <c r="F1157" s="30" t="s">
        <v>17</v>
      </c>
      <c r="G1157" s="2"/>
      <c r="H1157" s="1" t="s">
        <v>0</v>
      </c>
      <c r="I1157" s="2"/>
      <c r="J1157" s="2"/>
      <c r="K1157" s="1" t="s">
        <v>15</v>
      </c>
    </row>
    <row r="1158" ht="15.75" customHeight="1">
      <c r="A1158" s="1">
        <v>1157.0</v>
      </c>
      <c r="B1158" s="1">
        <v>28.0</v>
      </c>
      <c r="C1158" s="4" t="s">
        <v>53</v>
      </c>
      <c r="D1158" s="38" t="str">
        <f>IFERROR(__xludf.DUMMYFUNCTION("LET(
  words, TRANSPOSE(SPLIT($C1158,""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)"),", "" So TRUE .")</f>
        <v>, " So TRUE .</v>
      </c>
      <c r="E1158" s="39" t="str">
        <f>IFERROR(__xludf.DUMMYFUNCTION("INDEX(SPLIT($C1158,"" ""), ROW()-ROW($E$1150)+1)
"),"So")</f>
        <v>So</v>
      </c>
      <c r="F1158" s="30" t="s">
        <v>18</v>
      </c>
      <c r="G1158" s="2"/>
      <c r="H1158" s="1" t="s">
        <v>0</v>
      </c>
      <c r="I1158" s="2"/>
      <c r="J1158" s="2"/>
      <c r="K1158" s="1" t="s">
        <v>15</v>
      </c>
    </row>
    <row r="1159" ht="15.75" customHeight="1">
      <c r="A1159" s="1">
        <v>1158.0</v>
      </c>
      <c r="B1159" s="1">
        <v>28.0</v>
      </c>
      <c r="C1159" s="4" t="s">
        <v>53</v>
      </c>
      <c r="D1159" s="38" t="str">
        <f>IFERROR(__xludf.DUMMYFUNCTION("LET(
  words, TRANSPOSE(SPLIT($C1159,""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)"),""" So TRUE . including")</f>
        <v>" So TRUE . including</v>
      </c>
      <c r="E1159" s="39" t="b">
        <f>IFERROR(__xludf.DUMMYFUNCTION("INDEX(SPLIT($C1159,"" ""), ROW()-ROW($E$1150)+1)
"),TRUE)</f>
        <v>1</v>
      </c>
      <c r="F1159" s="30" t="s">
        <v>18</v>
      </c>
      <c r="G1159" s="2"/>
      <c r="H1159" s="1" t="s">
        <v>0</v>
      </c>
      <c r="I1159" s="2"/>
      <c r="J1159" s="2"/>
      <c r="K1159" s="1" t="s">
        <v>15</v>
      </c>
    </row>
    <row r="1160" ht="15.75" customHeight="1">
      <c r="A1160" s="1">
        <v>1159.0</v>
      </c>
      <c r="B1160" s="1">
        <v>28.0</v>
      </c>
      <c r="C1160" s="4" t="s">
        <v>53</v>
      </c>
      <c r="D1160" s="38" t="str">
        <f>IFERROR(__xludf.DUMMYFUNCTION("LET(
  words, TRANSPOSE(SPLIT($C1160,""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)"),"So TRUE . including pa")</f>
        <v>So TRUE . including pa</v>
      </c>
      <c r="E1160" s="39" t="str">
        <f>IFERROR(__xludf.DUMMYFUNCTION("INDEX(SPLIT($C1160,"" ""), ROW()-ROW($E$1150)+1)
"),".")</f>
        <v>.</v>
      </c>
      <c r="F1160" s="30" t="s">
        <v>17</v>
      </c>
      <c r="G1160" s="2"/>
      <c r="H1160" s="1" t="s">
        <v>0</v>
      </c>
      <c r="I1160" s="2"/>
      <c r="J1160" s="2"/>
      <c r="K1160" s="1" t="s">
        <v>15</v>
      </c>
    </row>
    <row r="1161" ht="15.75" customHeight="1">
      <c r="A1161" s="1">
        <v>1160.0</v>
      </c>
      <c r="B1161" s="1">
        <v>28.0</v>
      </c>
      <c r="C1161" s="4" t="s">
        <v>53</v>
      </c>
      <c r="D1161" s="38" t="str">
        <f>IFERROR(__xludf.DUMMYFUNCTION("LET(
  words, TRANSPOSE(SPLIT($C1161,""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)"),"TRUE . including pa nga")</f>
        <v>TRUE . including pa nga</v>
      </c>
      <c r="E1161" s="39" t="str">
        <f>IFERROR(__xludf.DUMMYFUNCTION("INDEX(SPLIT($C1161,"" ""), ROW()-ROW($E$1150)+1)
"),"including")</f>
        <v>including</v>
      </c>
      <c r="F1161" s="30" t="s">
        <v>18</v>
      </c>
      <c r="G1161" s="2"/>
      <c r="H1161" s="1" t="s">
        <v>0</v>
      </c>
      <c r="I1161" s="2"/>
      <c r="J1161" s="2"/>
      <c r="K1161" s="1" t="s">
        <v>15</v>
      </c>
    </row>
    <row r="1162" ht="15.75" customHeight="1">
      <c r="A1162" s="1">
        <v>1161.0</v>
      </c>
      <c r="B1162" s="1">
        <v>28.0</v>
      </c>
      <c r="C1162" s="4" t="s">
        <v>53</v>
      </c>
      <c r="D1162" s="38" t="str">
        <f>IFERROR(__xludf.DUMMYFUNCTION("LET(
  words, TRANSPOSE(SPLIT($C1162,""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)"),". including pa nga underwear")</f>
        <v>. including pa nga underwear</v>
      </c>
      <c r="E1162" s="39" t="str">
        <f>IFERROR(__xludf.DUMMYFUNCTION("INDEX(SPLIT($C1162,"" ""), ROW()-ROW($E$1150)+1)
"),"pa")</f>
        <v>pa</v>
      </c>
      <c r="F1162" s="30" t="s">
        <v>16</v>
      </c>
      <c r="G1162" s="2"/>
      <c r="H1162" s="1" t="s">
        <v>0</v>
      </c>
      <c r="I1162" s="2"/>
      <c r="J1162" s="2"/>
      <c r="K1162" s="1" t="s">
        <v>15</v>
      </c>
    </row>
    <row r="1163" ht="15.75" customHeight="1">
      <c r="A1163" s="1">
        <v>1162.0</v>
      </c>
      <c r="B1163" s="1">
        <v>28.0</v>
      </c>
      <c r="C1163" s="4" t="s">
        <v>53</v>
      </c>
      <c r="D1163" s="38" t="str">
        <f>IFERROR(__xludf.DUMMYFUNCTION("LET(
  words, TRANSPOSE(SPLIT($C1163,""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)"),"including pa nga underwear ,")</f>
        <v>including pa nga underwear ,</v>
      </c>
      <c r="E1163" s="39" t="str">
        <f>IFERROR(__xludf.DUMMYFUNCTION("INDEX(SPLIT($C1163,"" ""), ROW()-ROW($E$1150)+1)
"),"nga")</f>
        <v>nga</v>
      </c>
      <c r="F1163" s="30" t="s">
        <v>16</v>
      </c>
      <c r="G1163" s="2"/>
      <c r="H1163" s="1" t="s">
        <v>0</v>
      </c>
      <c r="I1163" s="2"/>
      <c r="J1163" s="2"/>
      <c r="K1163" s="1" t="s">
        <v>15</v>
      </c>
    </row>
    <row r="1164" ht="15.75" customHeight="1">
      <c r="A1164" s="1">
        <v>1163.0</v>
      </c>
      <c r="B1164" s="1">
        <v>28.0</v>
      </c>
      <c r="C1164" s="4" t="s">
        <v>53</v>
      </c>
      <c r="D1164" s="38" t="str">
        <f>IFERROR(__xludf.DUMMYFUNCTION("LET(
  words, TRANSPOSE(SPLIT($C1164,""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)"),"pa nga underwear , """)</f>
        <v>pa nga underwear , "</v>
      </c>
      <c r="E1164" s="39" t="str">
        <f>IFERROR(__xludf.DUMMYFUNCTION("INDEX(SPLIT($C1164,"" ""), ROW()-ROW($E$1150)+1)
"),"underwear")</f>
        <v>underwear</v>
      </c>
      <c r="F1164" s="30" t="s">
        <v>18</v>
      </c>
      <c r="G1164" s="2"/>
      <c r="H1164" s="1" t="s">
        <v>0</v>
      </c>
      <c r="I1164" s="2"/>
      <c r="J1164" s="2"/>
      <c r="K1164" s="1" t="s">
        <v>15</v>
      </c>
    </row>
    <row r="1165" ht="15.75" customHeight="1">
      <c r="A1165" s="1">
        <v>1164.0</v>
      </c>
      <c r="B1165" s="1">
        <v>28.0</v>
      </c>
      <c r="C1165" s="4" t="s">
        <v>53</v>
      </c>
      <c r="D1165" s="38" t="str">
        <f>IFERROR(__xludf.DUMMYFUNCTION("LET(
  words, TRANSPOSE(SPLIT($C1165,""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)"),"nga underwear , "" habang")</f>
        <v>nga underwear , " habang</v>
      </c>
      <c r="E1165" s="39" t="str">
        <f>IFERROR(__xludf.DUMMYFUNCTION("INDEX(SPLIT($C1165,"" ""), ROW()-ROW($E$1150)+1)
"),",")</f>
        <v>,</v>
      </c>
      <c r="F1165" s="30" t="s">
        <v>17</v>
      </c>
      <c r="G1165" s="2"/>
      <c r="H1165" s="1" t="s">
        <v>0</v>
      </c>
      <c r="I1165" s="2"/>
      <c r="J1165" s="2"/>
      <c r="K1165" s="1" t="s">
        <v>15</v>
      </c>
    </row>
    <row r="1166" ht="15.75" customHeight="1">
      <c r="A1166" s="1">
        <v>1165.0</v>
      </c>
      <c r="B1166" s="1">
        <v>28.0</v>
      </c>
      <c r="C1166" s="4" t="s">
        <v>53</v>
      </c>
      <c r="D1166" s="38" t="str">
        <f>IFERROR(__xludf.DUMMYFUNCTION("LET(
  words, TRANSPOSE(SPLIT($C1166,""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)"),"underwear , "" habang isa")</f>
        <v>underwear , " habang isa</v>
      </c>
      <c r="E1166" s="39" t="str">
        <f>IFERROR(__xludf.DUMMYFUNCTION("INDEX(SPLIT($C1166,"" ""), ROW()-ROW($E$1150)+1)
"),"""")</f>
        <v>"</v>
      </c>
      <c r="F1166" s="30" t="s">
        <v>17</v>
      </c>
      <c r="G1166" s="2"/>
      <c r="H1166" s="1" t="s">
        <v>0</v>
      </c>
      <c r="I1166" s="2"/>
      <c r="J1166" s="2"/>
      <c r="K1166" s="1" t="s">
        <v>15</v>
      </c>
    </row>
    <row r="1167" ht="15.75" customHeight="1">
      <c r="A1167" s="1">
        <v>1166.0</v>
      </c>
      <c r="B1167" s="1">
        <v>28.0</v>
      </c>
      <c r="C1167" s="4" t="s">
        <v>53</v>
      </c>
      <c r="D1167" s="38" t="str">
        <f>IFERROR(__xludf.DUMMYFUNCTION("LET(
  words, TRANSPOSE(SPLIT($C1167,""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)"),", "" habang isa pa")</f>
        <v>, " habang isa pa</v>
      </c>
      <c r="E1167" s="39" t="str">
        <f>IFERROR(__xludf.DUMMYFUNCTION("INDEX(SPLIT($C1167,"" ""), ROW()-ROW($E$1150)+1)
"),"habang")</f>
        <v>habang</v>
      </c>
      <c r="F1167" s="30" t="s">
        <v>16</v>
      </c>
      <c r="G1167" s="2"/>
      <c r="H1167" s="1" t="s">
        <v>0</v>
      </c>
      <c r="I1167" s="2"/>
      <c r="J1167" s="2"/>
      <c r="K1167" s="1" t="s">
        <v>15</v>
      </c>
    </row>
    <row r="1168" ht="15.75" customHeight="1">
      <c r="A1168" s="1">
        <v>1167.0</v>
      </c>
      <c r="B1168" s="1">
        <v>28.0</v>
      </c>
      <c r="C1168" s="4" t="s">
        <v>53</v>
      </c>
      <c r="D1168" s="38" t="str">
        <f>IFERROR(__xludf.DUMMYFUNCTION("LET(
  words, TRANSPOSE(SPLIT($C1168,""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)"),""" habang isa pa ang")</f>
        <v>" habang isa pa ang</v>
      </c>
      <c r="E1168" s="39" t="str">
        <f>IFERROR(__xludf.DUMMYFUNCTION("INDEX(SPLIT($C1168,"" ""), ROW()-ROW($E$1150)+1)
"),"isa")</f>
        <v>isa</v>
      </c>
      <c r="F1168" s="30" t="s">
        <v>16</v>
      </c>
      <c r="G1168" s="2"/>
      <c r="H1168" s="1" t="s">
        <v>0</v>
      </c>
      <c r="I1168" s="2"/>
      <c r="J1168" s="2"/>
      <c r="K1168" s="1" t="s">
        <v>15</v>
      </c>
    </row>
    <row r="1169" ht="15.75" customHeight="1">
      <c r="A1169" s="1">
        <v>1168.0</v>
      </c>
      <c r="B1169" s="1">
        <v>28.0</v>
      </c>
      <c r="C1169" s="4" t="s">
        <v>53</v>
      </c>
      <c r="D1169" s="38" t="str">
        <f>IFERROR(__xludf.DUMMYFUNCTION("LET(
  words, TRANSPOSE(SPLIT($C1169,""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)"),"habang isa pa ang nagbiro")</f>
        <v>habang isa pa ang nagbiro</v>
      </c>
      <c r="E1169" s="39" t="str">
        <f>IFERROR(__xludf.DUMMYFUNCTION("INDEX(SPLIT($C1169,"" ""), ROW()-ROW($E$1150)+1)
"),"pa")</f>
        <v>pa</v>
      </c>
      <c r="F1169" s="30" t="s">
        <v>16</v>
      </c>
      <c r="G1169" s="2"/>
      <c r="H1169" s="1" t="s">
        <v>0</v>
      </c>
      <c r="I1169" s="2"/>
      <c r="J1169" s="2"/>
      <c r="K1169" s="1" t="s">
        <v>15</v>
      </c>
    </row>
    <row r="1170" ht="15.75" customHeight="1">
      <c r="A1170" s="1">
        <v>1169.0</v>
      </c>
      <c r="B1170" s="1">
        <v>28.0</v>
      </c>
      <c r="C1170" s="4" t="s">
        <v>53</v>
      </c>
      <c r="D1170" s="38" t="str">
        <f>IFERROR(__xludf.DUMMYFUNCTION("LET(
  words, TRANSPOSE(SPLIT($C1170,""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)"),"isa pa ang nagbiro ng")</f>
        <v>isa pa ang nagbiro ng</v>
      </c>
      <c r="E1170" s="39" t="str">
        <f>IFERROR(__xludf.DUMMYFUNCTION("INDEX(SPLIT($C1170,"" ""), ROW()-ROW($E$1150)+1)
"),"ang")</f>
        <v>ang</v>
      </c>
      <c r="F1170" s="30" t="s">
        <v>16</v>
      </c>
      <c r="G1170" s="2"/>
      <c r="H1170" s="1" t="s">
        <v>0</v>
      </c>
      <c r="I1170" s="2"/>
      <c r="J1170" s="2"/>
      <c r="K1170" s="1" t="s">
        <v>15</v>
      </c>
    </row>
    <row r="1171" ht="15.75" customHeight="1">
      <c r="A1171" s="1">
        <v>1170.0</v>
      </c>
      <c r="B1171" s="1">
        <v>28.0</v>
      </c>
      <c r="C1171" s="4" t="s">
        <v>53</v>
      </c>
      <c r="D1171" s="38" t="str">
        <f>IFERROR(__xludf.DUMMYFUNCTION("LET(
  words, TRANSPOSE(SPLIT($C1171,""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)"),"pa ang nagbiro ng """)</f>
        <v>pa ang nagbiro ng "</v>
      </c>
      <c r="E1171" s="39" t="str">
        <f>IFERROR(__xludf.DUMMYFUNCTION("INDEX(SPLIT($C1171,"" ""), ROW()-ROW($E$1150)+1)
"),"nagbiro")</f>
        <v>nagbiro</v>
      </c>
      <c r="F1171" s="30" t="s">
        <v>16</v>
      </c>
      <c r="G1171" s="2"/>
      <c r="H1171" s="1" t="s">
        <v>0</v>
      </c>
      <c r="I1171" s="2"/>
      <c r="J1171" s="2"/>
      <c r="K1171" s="1" t="s">
        <v>15</v>
      </c>
    </row>
    <row r="1172" ht="15.75" customHeight="1">
      <c r="A1172" s="1">
        <v>1171.0</v>
      </c>
      <c r="B1172" s="1">
        <v>28.0</v>
      </c>
      <c r="C1172" s="4" t="s">
        <v>53</v>
      </c>
      <c r="D1172" s="38" t="str">
        <f>IFERROR(__xludf.DUMMYFUNCTION("LET(
  words, TRANSPOSE(SPLIT($C1172,""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)"),"ang nagbiro ng "" yeah")</f>
        <v>ang nagbiro ng " yeah</v>
      </c>
      <c r="E1172" s="39" t="str">
        <f>IFERROR(__xludf.DUMMYFUNCTION("INDEX(SPLIT($C1172,"" ""), ROW()-ROW($E$1150)+1)
"),"ng")</f>
        <v>ng</v>
      </c>
      <c r="F1172" s="30" t="s">
        <v>16</v>
      </c>
      <c r="G1172" s="2"/>
      <c r="H1172" s="1" t="s">
        <v>0</v>
      </c>
      <c r="I1172" s="2"/>
      <c r="J1172" s="2"/>
      <c r="K1172" s="1" t="s">
        <v>15</v>
      </c>
    </row>
    <row r="1173" ht="15.75" customHeight="1">
      <c r="A1173" s="1">
        <v>1172.0</v>
      </c>
      <c r="B1173" s="1">
        <v>28.0</v>
      </c>
      <c r="C1173" s="4" t="s">
        <v>53</v>
      </c>
      <c r="D1173" s="38" t="str">
        <f>IFERROR(__xludf.DUMMYFUNCTION("LET(
  words, TRANSPOSE(SPLIT($C1173,""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)"),"nagbiro ng "" yeah ,")</f>
        <v>nagbiro ng " yeah ,</v>
      </c>
      <c r="E1173" s="39" t="str">
        <f>IFERROR(__xludf.DUMMYFUNCTION("INDEX(SPLIT($C1173,"" ""), ROW()-ROW($E$1150)+1)
"),"""")</f>
        <v>"</v>
      </c>
      <c r="F1173" s="30" t="s">
        <v>17</v>
      </c>
      <c r="G1173" s="2"/>
      <c r="H1173" s="1" t="s">
        <v>0</v>
      </c>
      <c r="I1173" s="2"/>
      <c r="J1173" s="2"/>
      <c r="K1173" s="1" t="s">
        <v>15</v>
      </c>
    </row>
    <row r="1174" ht="15.75" customHeight="1">
      <c r="A1174" s="1">
        <v>1173.0</v>
      </c>
      <c r="B1174" s="1">
        <v>28.0</v>
      </c>
      <c r="C1174" s="4" t="s">
        <v>53</v>
      </c>
      <c r="D1174" s="38" t="str">
        <f>IFERROR(__xludf.DUMMYFUNCTION("LET(
  words, TRANSPOSE(SPLIT($C1174,""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)"),"ng "" yeah , my")</f>
        <v>ng " yeah , my</v>
      </c>
      <c r="E1174" s="39" t="str">
        <f>IFERROR(__xludf.DUMMYFUNCTION("INDEX(SPLIT($C1174,"" ""), ROW()-ROW($E$1150)+1)
"),"yeah")</f>
        <v>yeah</v>
      </c>
      <c r="F1174" s="30" t="s">
        <v>18</v>
      </c>
      <c r="G1174" s="2"/>
      <c r="H1174" s="1" t="s">
        <v>0</v>
      </c>
      <c r="I1174" s="2"/>
      <c r="J1174" s="2"/>
      <c r="K1174" s="1" t="s">
        <v>15</v>
      </c>
    </row>
    <row r="1175" ht="15.75" customHeight="1">
      <c r="A1175" s="1">
        <v>1174.0</v>
      </c>
      <c r="B1175" s="1">
        <v>28.0</v>
      </c>
      <c r="C1175" s="4" t="s">
        <v>53</v>
      </c>
      <c r="D1175" s="38" t="str">
        <f>IFERROR(__xludf.DUMMYFUNCTION("LET(
  words, TRANSPOSE(SPLIT($C1175,""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)"),""" yeah , my free")</f>
        <v>" yeah , my free</v>
      </c>
      <c r="E1175" s="39" t="str">
        <f>IFERROR(__xludf.DUMMYFUNCTION("INDEX(SPLIT($C1175,"" ""), ROW()-ROW($E$1150)+1)
"),",")</f>
        <v>,</v>
      </c>
      <c r="F1175" s="30" t="s">
        <v>17</v>
      </c>
      <c r="G1175" s="2"/>
      <c r="H1175" s="1" t="s">
        <v>0</v>
      </c>
      <c r="I1175" s="2"/>
      <c r="J1175" s="2"/>
      <c r="K1175" s="1" t="s">
        <v>15</v>
      </c>
    </row>
    <row r="1176" ht="15.75" customHeight="1">
      <c r="A1176" s="1">
        <v>1175.0</v>
      </c>
      <c r="B1176" s="1">
        <v>28.0</v>
      </c>
      <c r="C1176" s="4" t="s">
        <v>53</v>
      </c>
      <c r="D1176" s="38" t="str">
        <f>IFERROR(__xludf.DUMMYFUNCTION("LET(
  words, TRANSPOSE(SPLIT($C1176,""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)"),"yeah , my free aircon")</f>
        <v>yeah , my free aircon</v>
      </c>
      <c r="E1176" s="39" t="str">
        <f>IFERROR(__xludf.DUMMYFUNCTION("INDEX(SPLIT($C1176,"" ""), ROW()-ROW($E$1150)+1)
"),"my")</f>
        <v>my</v>
      </c>
      <c r="F1176" s="30" t="s">
        <v>18</v>
      </c>
      <c r="G1176" s="2"/>
      <c r="H1176" s="1" t="s">
        <v>0</v>
      </c>
      <c r="I1176" s="2"/>
      <c r="J1176" s="2"/>
      <c r="K1176" s="1" t="s">
        <v>15</v>
      </c>
    </row>
    <row r="1177" ht="15.75" customHeight="1">
      <c r="A1177" s="1">
        <v>1176.0</v>
      </c>
      <c r="B1177" s="1">
        <v>28.0</v>
      </c>
      <c r="C1177" s="4" t="s">
        <v>53</v>
      </c>
      <c r="D1177" s="38" t="str">
        <f>IFERROR(__xludf.DUMMYFUNCTION("LET(
  words, TRANSPOSE(SPLIT($C1177,""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)"),", my free aircon .")</f>
        <v>, my free aircon .</v>
      </c>
      <c r="E1177" s="39" t="str">
        <f>IFERROR(__xludf.DUMMYFUNCTION("INDEX(SPLIT($C1177,"" ""), ROW()-ROW($E$1150)+1)
"),"free")</f>
        <v>free</v>
      </c>
      <c r="F1177" s="30" t="s">
        <v>18</v>
      </c>
      <c r="G1177" s="2"/>
      <c r="H1177" s="1" t="s">
        <v>0</v>
      </c>
      <c r="I1177" s="2"/>
      <c r="J1177" s="2"/>
      <c r="K1177" s="1" t="s">
        <v>15</v>
      </c>
    </row>
    <row r="1178" ht="15.75" customHeight="1">
      <c r="A1178" s="1">
        <v>1177.0</v>
      </c>
      <c r="B1178" s="1">
        <v>28.0</v>
      </c>
      <c r="C1178" s="4" t="s">
        <v>53</v>
      </c>
      <c r="D1178" s="38" t="str">
        <f>IFERROR(__xludf.DUMMYFUNCTION("LET(
  words, TRANSPOSE(SPLIT($C1178,""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)"),"my free aircon . """)</f>
        <v>my free aircon . "</v>
      </c>
      <c r="E1178" s="39" t="str">
        <f>IFERROR(__xludf.DUMMYFUNCTION("INDEX(SPLIT($C1178,"" ""), ROW()-ROW($E$1150)+1)
"),"aircon")</f>
        <v>aircon</v>
      </c>
      <c r="F1178" s="30" t="s">
        <v>18</v>
      </c>
      <c r="G1178" s="2"/>
      <c r="H1178" s="1" t="s">
        <v>0</v>
      </c>
      <c r="I1178" s="2"/>
      <c r="J1178" s="2"/>
      <c r="K1178" s="1" t="s">
        <v>15</v>
      </c>
    </row>
    <row r="1179" ht="15.75" customHeight="1">
      <c r="A1179" s="1">
        <v>1178.0</v>
      </c>
      <c r="B1179" s="1">
        <v>28.0</v>
      </c>
      <c r="C1179" s="4" t="s">
        <v>53</v>
      </c>
      <c r="D1179" s="38" t="str">
        <f>IFERROR(__xludf.DUMMYFUNCTION("LET(
  words, TRANSPOSE(SPLIT($C1179,""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)"),"free aircon . "" ngunit")</f>
        <v>free aircon . " ngunit</v>
      </c>
      <c r="E1179" s="39" t="str">
        <f>IFERROR(__xludf.DUMMYFUNCTION("INDEX(SPLIT($C1179,"" ""), ROW()-ROW($E$1150)+1)
"),".")</f>
        <v>.</v>
      </c>
      <c r="F1179" s="30" t="s">
        <v>17</v>
      </c>
      <c r="G1179" s="2"/>
      <c r="H1179" s="1" t="s">
        <v>0</v>
      </c>
      <c r="I1179" s="2"/>
      <c r="J1179" s="2"/>
      <c r="K1179" s="1" t="s">
        <v>15</v>
      </c>
    </row>
    <row r="1180" ht="15.75" customHeight="1">
      <c r="A1180" s="1">
        <v>1179.0</v>
      </c>
      <c r="B1180" s="1">
        <v>28.0</v>
      </c>
      <c r="C1180" s="4" t="s">
        <v>53</v>
      </c>
      <c r="D1180" s="38" t="str">
        <f>IFERROR(__xludf.DUMMYFUNCTION("LET(
  words, TRANSPOSE(SPLIT($C1180,""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)"),"aircon . "" ngunit ang")</f>
        <v>aircon . " ngunit ang</v>
      </c>
      <c r="E1180" s="39" t="str">
        <f>IFERROR(__xludf.DUMMYFUNCTION("INDEX(SPLIT($C1180,"" ""), ROW()-ROW($E$1150)+1)
"),"""")</f>
        <v>"</v>
      </c>
      <c r="F1180" s="30" t="s">
        <v>17</v>
      </c>
      <c r="G1180" s="2"/>
      <c r="H1180" s="1" t="s">
        <v>0</v>
      </c>
      <c r="I1180" s="2"/>
      <c r="J1180" s="2"/>
      <c r="K1180" s="1" t="s">
        <v>15</v>
      </c>
    </row>
    <row r="1181" ht="15.75" customHeight="1">
      <c r="A1181" s="1">
        <v>1180.0</v>
      </c>
      <c r="B1181" s="1">
        <v>28.0</v>
      </c>
      <c r="C1181" s="4" t="s">
        <v>53</v>
      </c>
      <c r="D1181" s="38" t="str">
        <f>IFERROR(__xludf.DUMMYFUNCTION("LET(
  words, TRANSPOSE(SPLIT($C1181,""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)"),". "" ngunit ang pinakanagpasaya")</f>
        <v>. " ngunit ang pinakanagpasaya</v>
      </c>
      <c r="E1181" s="39" t="str">
        <f>IFERROR(__xludf.DUMMYFUNCTION("INDEX(SPLIT($C1181,"" ""), ROW()-ROW($E$1150)+1)
"),"ngunit")</f>
        <v>ngunit</v>
      </c>
      <c r="F1181" s="30" t="s">
        <v>16</v>
      </c>
      <c r="G1181" s="2"/>
      <c r="H1181" s="1" t="s">
        <v>0</v>
      </c>
      <c r="I1181" s="2"/>
      <c r="J1181" s="2"/>
      <c r="K1181" s="1" t="s">
        <v>15</v>
      </c>
    </row>
    <row r="1182" ht="15.75" customHeight="1">
      <c r="A1182" s="1">
        <v>1181.0</v>
      </c>
      <c r="B1182" s="1">
        <v>28.0</v>
      </c>
      <c r="C1182" s="4" t="s">
        <v>53</v>
      </c>
      <c r="D1182" s="38" t="str">
        <f>IFERROR(__xludf.DUMMYFUNCTION("LET(
  words, TRANSPOSE(SPLIT($C1182,""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)"),""" ngunit ang pinakanagpasaya sa")</f>
        <v>" ngunit ang pinakanagpasaya sa</v>
      </c>
      <c r="E1182" s="39" t="str">
        <f>IFERROR(__xludf.DUMMYFUNCTION("INDEX(SPLIT($C1182,"" ""), ROW()-ROW($E$1150)+1)
"),"ang")</f>
        <v>ang</v>
      </c>
      <c r="F1182" s="30" t="s">
        <v>16</v>
      </c>
      <c r="G1182" s="2"/>
      <c r="H1182" s="1" t="s">
        <v>0</v>
      </c>
      <c r="I1182" s="2"/>
      <c r="J1182" s="2"/>
      <c r="K1182" s="1" t="s">
        <v>15</v>
      </c>
    </row>
    <row r="1183" ht="15.75" customHeight="1">
      <c r="A1183" s="1">
        <v>1182.0</v>
      </c>
      <c r="B1183" s="1">
        <v>28.0</v>
      </c>
      <c r="C1183" s="4" t="s">
        <v>53</v>
      </c>
      <c r="D1183" s="38" t="str">
        <f>IFERROR(__xludf.DUMMYFUNCTION("LET(
  words, TRANSPOSE(SPLIT($C1183,""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)"),"ngunit ang pinakanagpasaya sa lahat")</f>
        <v>ngunit ang pinakanagpasaya sa lahat</v>
      </c>
      <c r="E1183" s="39" t="str">
        <f>IFERROR(__xludf.DUMMYFUNCTION("INDEX(SPLIT($C1183,"" ""), ROW()-ROW($E$1150)+1)
"),"pinakanagpasaya")</f>
        <v>pinakanagpasaya</v>
      </c>
      <c r="F1183" s="30" t="s">
        <v>16</v>
      </c>
      <c r="G1183" s="2"/>
      <c r="H1183" s="1" t="s">
        <v>0</v>
      </c>
      <c r="I1183" s="2"/>
      <c r="J1183" s="2"/>
      <c r="K1183" s="1" t="s">
        <v>15</v>
      </c>
    </row>
    <row r="1184" ht="15.75" customHeight="1">
      <c r="A1184" s="1">
        <v>1183.0</v>
      </c>
      <c r="B1184" s="1">
        <v>28.0</v>
      </c>
      <c r="C1184" s="4" t="s">
        <v>53</v>
      </c>
      <c r="D1184" s="38" t="str">
        <f>IFERROR(__xludf.DUMMYFUNCTION("LET(
  words, TRANSPOSE(SPLIT($C1184,""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)"),"ang pinakanagpasaya sa lahat ay")</f>
        <v>ang pinakanagpasaya sa lahat ay</v>
      </c>
      <c r="E1184" s="39" t="str">
        <f>IFERROR(__xludf.DUMMYFUNCTION("INDEX(SPLIT($C1184,"" ""), ROW()-ROW($E$1150)+1)
"),"sa")</f>
        <v>sa</v>
      </c>
      <c r="F1184" s="30" t="s">
        <v>16</v>
      </c>
      <c r="G1184" s="2"/>
      <c r="H1184" s="1" t="s">
        <v>0</v>
      </c>
      <c r="I1184" s="2"/>
      <c r="J1184" s="2"/>
      <c r="K1184" s="1" t="s">
        <v>15</v>
      </c>
    </row>
    <row r="1185" ht="15.75" customHeight="1">
      <c r="A1185" s="1">
        <v>1184.0</v>
      </c>
      <c r="B1185" s="1">
        <v>28.0</v>
      </c>
      <c r="C1185" s="4" t="s">
        <v>53</v>
      </c>
      <c r="D1185" s="38" t="str">
        <f>IFERROR(__xludf.DUMMYFUNCTION("LET(
  words, TRANSPOSE(SPLIT($C1185,""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)"),"pinakanagpasaya sa lahat ay ang")</f>
        <v>pinakanagpasaya sa lahat ay ang</v>
      </c>
      <c r="E1185" s="39" t="str">
        <f>IFERROR(__xludf.DUMMYFUNCTION("INDEX(SPLIT($C1185,"" ""), ROW()-ROW($E$1150)+1)
"),"lahat")</f>
        <v>lahat</v>
      </c>
      <c r="F1185" s="30" t="s">
        <v>16</v>
      </c>
      <c r="G1185" s="2"/>
      <c r="H1185" s="1" t="s">
        <v>0</v>
      </c>
      <c r="I1185" s="2"/>
      <c r="J1185" s="2"/>
      <c r="K1185" s="1" t="s">
        <v>15</v>
      </c>
    </row>
    <row r="1186" ht="15.75" customHeight="1">
      <c r="A1186" s="1">
        <v>1185.0</v>
      </c>
      <c r="B1186" s="1">
        <v>28.0</v>
      </c>
      <c r="C1186" s="4" t="s">
        <v>53</v>
      </c>
      <c r="D1186" s="38" t="str">
        <f>IFERROR(__xludf.DUMMYFUNCTION("LET(
  words, TRANSPOSE(SPLIT($C1186,""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)"),"sa lahat ay ang comment")</f>
        <v>sa lahat ay ang comment</v>
      </c>
      <c r="E1186" s="39" t="str">
        <f>IFERROR(__xludf.DUMMYFUNCTION("INDEX(SPLIT($C1186,"" ""), ROW()-ROW($E$1150)+1)
"),"ay")</f>
        <v>ay</v>
      </c>
      <c r="F1186" s="30" t="s">
        <v>16</v>
      </c>
      <c r="G1186" s="2"/>
      <c r="H1186" s="1" t="s">
        <v>0</v>
      </c>
      <c r="I1186" s="2"/>
      <c r="J1186" s="2"/>
      <c r="K1186" s="1" t="s">
        <v>15</v>
      </c>
    </row>
    <row r="1187" ht="15.75" customHeight="1">
      <c r="A1187" s="1">
        <v>1186.0</v>
      </c>
      <c r="B1187" s="1">
        <v>28.0</v>
      </c>
      <c r="C1187" s="4" t="s">
        <v>53</v>
      </c>
      <c r="D1187" s="38" t="str">
        <f>IFERROR(__xludf.DUMMYFUNCTION("LET(
  words, TRANSPOSE(SPLIT($C1187,""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)"),"lahat ay ang comment ng")</f>
        <v>lahat ay ang comment ng</v>
      </c>
      <c r="E1187" s="39" t="str">
        <f>IFERROR(__xludf.DUMMYFUNCTION("INDEX(SPLIT($C1187,"" ""), ROW()-ROW($E$1150)+1)
"),"ang")</f>
        <v>ang</v>
      </c>
      <c r="F1187" s="30" t="s">
        <v>16</v>
      </c>
      <c r="G1187" s="2"/>
      <c r="H1187" s="1" t="s">
        <v>0</v>
      </c>
      <c r="I1187" s="2"/>
      <c r="J1187" s="2"/>
      <c r="K1187" s="1" t="s">
        <v>15</v>
      </c>
    </row>
    <row r="1188" ht="15.75" customHeight="1">
      <c r="A1188" s="1">
        <v>1187.0</v>
      </c>
      <c r="B1188" s="1">
        <v>28.0</v>
      </c>
      <c r="C1188" s="4" t="s">
        <v>53</v>
      </c>
      <c r="D1188" s="38" t="str">
        <f>IFERROR(__xludf.DUMMYFUNCTION("LET(
  words, TRANSPOSE(SPLIT($C1188,""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)"),"ay ang comment ng isang")</f>
        <v>ay ang comment ng isang</v>
      </c>
      <c r="E1188" s="39" t="str">
        <f>IFERROR(__xludf.DUMMYFUNCTION("INDEX(SPLIT($C1188,"" ""), ROW()-ROW($E$1150)+1)
"),"comment")</f>
        <v>comment</v>
      </c>
      <c r="F1188" s="30" t="s">
        <v>18</v>
      </c>
      <c r="G1188" s="2"/>
      <c r="H1188" s="1" t="s">
        <v>0</v>
      </c>
      <c r="I1188" s="2"/>
      <c r="J1188" s="2"/>
      <c r="K1188" s="1" t="s">
        <v>15</v>
      </c>
    </row>
    <row r="1189" ht="15.75" customHeight="1">
      <c r="A1189" s="1">
        <v>1188.0</v>
      </c>
      <c r="B1189" s="1">
        <v>28.0</v>
      </c>
      <c r="C1189" s="4" t="s">
        <v>53</v>
      </c>
      <c r="D1189" s="38" t="str">
        <f>IFERROR(__xludf.DUMMYFUNCTION("LET(
  words, TRANSPOSE(SPLIT($C1189,""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)"),"ang comment ng isang netizen")</f>
        <v>ang comment ng isang netizen</v>
      </c>
      <c r="E1189" s="39" t="str">
        <f>IFERROR(__xludf.DUMMYFUNCTION("INDEX(SPLIT($C1189,"" ""), ROW()-ROW($E$1150)+1)
"),"ng")</f>
        <v>ng</v>
      </c>
      <c r="F1189" s="30" t="s">
        <v>16</v>
      </c>
      <c r="G1189" s="2"/>
      <c r="H1189" s="1" t="s">
        <v>0</v>
      </c>
      <c r="I1189" s="2"/>
      <c r="J1189" s="2"/>
      <c r="K1189" s="1" t="s">
        <v>15</v>
      </c>
    </row>
    <row r="1190" ht="15.75" customHeight="1">
      <c r="A1190" s="1">
        <v>1189.0</v>
      </c>
      <c r="B1190" s="1">
        <v>28.0</v>
      </c>
      <c r="C1190" s="4" t="s">
        <v>53</v>
      </c>
      <c r="D1190" s="38" t="str">
        <f>IFERROR(__xludf.DUMMYFUNCTION("LET(
  words, TRANSPOSE(SPLIT($C1190,""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)"),"comment ng isang netizen na")</f>
        <v>comment ng isang netizen na</v>
      </c>
      <c r="E1190" s="39" t="str">
        <f>IFERROR(__xludf.DUMMYFUNCTION("INDEX(SPLIT($C1190,"" ""), ROW()-ROW($E$1150)+1)
"),"isang")</f>
        <v>isang</v>
      </c>
      <c r="F1190" s="30" t="s">
        <v>16</v>
      </c>
      <c r="G1190" s="2"/>
      <c r="H1190" s="1" t="s">
        <v>0</v>
      </c>
      <c r="I1190" s="2"/>
      <c r="J1190" s="2"/>
      <c r="K1190" s="1" t="s">
        <v>15</v>
      </c>
    </row>
    <row r="1191" ht="15.75" customHeight="1">
      <c r="A1191" s="1">
        <v>1190.0</v>
      </c>
      <c r="B1191" s="1">
        <v>28.0</v>
      </c>
      <c r="C1191" s="4" t="s">
        <v>53</v>
      </c>
      <c r="D1191" s="38" t="str">
        <f>IFERROR(__xludf.DUMMYFUNCTION("LET(
  words, TRANSPOSE(SPLIT($C1191,""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)"),"ng isang netizen na nagsabing")</f>
        <v>ng isang netizen na nagsabing</v>
      </c>
      <c r="E1191" s="39" t="str">
        <f>IFERROR(__xludf.DUMMYFUNCTION("INDEX(SPLIT($C1191,"" ""), ROW()-ROW($E$1150)+1)
"),"netizen")</f>
        <v>netizen</v>
      </c>
      <c r="F1191" s="30" t="s">
        <v>18</v>
      </c>
      <c r="G1191" s="2"/>
      <c r="H1191" s="1" t="s">
        <v>0</v>
      </c>
      <c r="I1191" s="2"/>
      <c r="J1191" s="2"/>
      <c r="K1191" s="1" t="s">
        <v>15</v>
      </c>
    </row>
    <row r="1192" ht="15.75" customHeight="1">
      <c r="A1192" s="1">
        <v>1191.0</v>
      </c>
      <c r="B1192" s="1">
        <v>28.0</v>
      </c>
      <c r="C1192" s="4" t="s">
        <v>53</v>
      </c>
      <c r="D1192" s="38" t="str">
        <f>IFERROR(__xludf.DUMMYFUNCTION("LET(
  words, TRANSPOSE(SPLIT($C1192,""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)"),"isang netizen na nagsabing ,")</f>
        <v>isang netizen na nagsabing ,</v>
      </c>
      <c r="E1192" s="39" t="str">
        <f>IFERROR(__xludf.DUMMYFUNCTION("INDEX(SPLIT($C1192,"" ""), ROW()-ROW($E$1150)+1)
"),"na")</f>
        <v>na</v>
      </c>
      <c r="F1192" s="30" t="s">
        <v>16</v>
      </c>
      <c r="G1192" s="2"/>
      <c r="H1192" s="1" t="s">
        <v>0</v>
      </c>
      <c r="I1192" s="2"/>
      <c r="J1192" s="2"/>
      <c r="K1192" s="1" t="s">
        <v>15</v>
      </c>
    </row>
    <row r="1193" ht="15.75" customHeight="1">
      <c r="A1193" s="1">
        <v>1192.0</v>
      </c>
      <c r="B1193" s="1">
        <v>28.0</v>
      </c>
      <c r="C1193" s="4" t="s">
        <v>53</v>
      </c>
      <c r="D1193" s="38" t="str">
        <f>IFERROR(__xludf.DUMMYFUNCTION("LET(
  words, TRANSPOSE(SPLIT($C1193,""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)"),"netizen na nagsabing , """)</f>
        <v>netizen na nagsabing , "</v>
      </c>
      <c r="E1193" s="39" t="str">
        <f>IFERROR(__xludf.DUMMYFUNCTION("INDEX(SPLIT($C1193,"" ""), ROW()-ROW($E$1150)+1)
"),"nagsabing")</f>
        <v>nagsabing</v>
      </c>
      <c r="F1193" s="30" t="s">
        <v>16</v>
      </c>
      <c r="G1193" s="2"/>
      <c r="H1193" s="1" t="s">
        <v>0</v>
      </c>
      <c r="I1193" s="2"/>
      <c r="J1193" s="2"/>
      <c r="K1193" s="1" t="s">
        <v>15</v>
      </c>
    </row>
    <row r="1194" ht="15.75" customHeight="1">
      <c r="A1194" s="1">
        <v>1193.0</v>
      </c>
      <c r="B1194" s="1">
        <v>28.0</v>
      </c>
      <c r="C1194" s="4" t="s">
        <v>53</v>
      </c>
      <c r="D1194" s="38" t="str">
        <f>IFERROR(__xludf.DUMMYFUNCTION("LET(
  words, TRANSPOSE(SPLIT($C1194,""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)"),"na nagsabing , "" uyy")</f>
        <v>na nagsabing , " uyy</v>
      </c>
      <c r="E1194" s="39" t="str">
        <f>IFERROR(__xludf.DUMMYFUNCTION("INDEX(SPLIT($C1194,"" ""), ROW()-ROW($E$1150)+1)
"),",")</f>
        <v>,</v>
      </c>
      <c r="F1194" s="30" t="s">
        <v>17</v>
      </c>
      <c r="G1194" s="2"/>
      <c r="H1194" s="1" t="s">
        <v>0</v>
      </c>
      <c r="I1194" s="2"/>
      <c r="J1194" s="2"/>
      <c r="K1194" s="1" t="s">
        <v>15</v>
      </c>
    </row>
    <row r="1195" ht="15.75" customHeight="1">
      <c r="A1195" s="1">
        <v>1194.0</v>
      </c>
      <c r="B1195" s="1">
        <v>28.0</v>
      </c>
      <c r="C1195" s="4" t="s">
        <v>53</v>
      </c>
      <c r="D1195" s="38" t="str">
        <f>IFERROR(__xludf.DUMMYFUNCTION("LET(
  words, TRANSPOSE(SPLIT($C1195,""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)"),"nagsabing , "" uyy kala")</f>
        <v>nagsabing , " uyy kala</v>
      </c>
      <c r="E1195" s="39" t="str">
        <f>IFERROR(__xludf.DUMMYFUNCTION("INDEX(SPLIT($C1195,"" ""), ROW()-ROW($E$1150)+1)
"),"""")</f>
        <v>"</v>
      </c>
      <c r="F1195" s="30" t="s">
        <v>17</v>
      </c>
      <c r="G1195" s="2"/>
      <c r="H1195" s="1" t="s">
        <v>0</v>
      </c>
      <c r="I1195" s="2"/>
      <c r="J1195" s="2"/>
      <c r="K1195" s="1" t="s">
        <v>15</v>
      </c>
    </row>
    <row r="1196" ht="15.75" customHeight="1">
      <c r="A1196" s="1">
        <v>1195.0</v>
      </c>
      <c r="B1196" s="1">
        <v>28.0</v>
      </c>
      <c r="C1196" s="4" t="s">
        <v>53</v>
      </c>
      <c r="D1196" s="38" t="str">
        <f>IFERROR(__xludf.DUMMYFUNCTION("LET(
  words, TRANSPOSE(SPLIT($C1196,""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)"),", "" uyy kala ko")</f>
        <v>, " uyy kala ko</v>
      </c>
      <c r="E1196" s="39" t="str">
        <f>IFERROR(__xludf.DUMMYFUNCTION("INDEX(SPLIT($C1196,"" ""), ROW()-ROW($E$1150)+1)
"),"uyy")</f>
        <v>uyy</v>
      </c>
      <c r="F1196" s="30" t="s">
        <v>13</v>
      </c>
      <c r="G1196" s="1" t="s">
        <v>14</v>
      </c>
      <c r="H1196" s="1" t="s">
        <v>0</v>
      </c>
      <c r="I1196" s="2"/>
      <c r="J1196" s="2"/>
      <c r="K1196" s="1" t="s">
        <v>15</v>
      </c>
    </row>
    <row r="1197" ht="15.75" customHeight="1">
      <c r="A1197" s="1">
        <v>1196.0</v>
      </c>
      <c r="B1197" s="1">
        <v>28.0</v>
      </c>
      <c r="C1197" s="4" t="s">
        <v>53</v>
      </c>
      <c r="D1197" s="38" t="str">
        <f>IFERROR(__xludf.DUMMYFUNCTION("LET(
  words, TRANSPOSE(SPLIT($C1197,""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)"),""" uyy kala ko kami")</f>
        <v>" uyy kala ko kami</v>
      </c>
      <c r="E1197" s="39" t="str">
        <f>IFERROR(__xludf.DUMMYFUNCTION("INDEX(SPLIT($C1197,"" ""), ROW()-ROW($E$1150)+1)
"),"kala")</f>
        <v>kala</v>
      </c>
      <c r="F1197" s="30" t="s">
        <v>16</v>
      </c>
      <c r="G1197" s="2"/>
      <c r="H1197" s="1" t="s">
        <v>0</v>
      </c>
      <c r="I1197" s="2"/>
      <c r="J1197" s="2"/>
      <c r="K1197" s="1" t="s">
        <v>15</v>
      </c>
    </row>
    <row r="1198" ht="15.75" customHeight="1">
      <c r="A1198" s="1">
        <v>1197.0</v>
      </c>
      <c r="B1198" s="1">
        <v>28.0</v>
      </c>
      <c r="C1198" s="4" t="s">
        <v>53</v>
      </c>
      <c r="D1198" s="38" t="str">
        <f>IFERROR(__xludf.DUMMYFUNCTION("LET(
  words, TRANSPOSE(SPLIT($C1198,""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)"),"uyy kala ko kami lang")</f>
        <v>uyy kala ko kami lang</v>
      </c>
      <c r="E1198" s="39" t="str">
        <f>IFERROR(__xludf.DUMMYFUNCTION("INDEX(SPLIT($C1198,"" ""), ROW()-ROW($E$1150)+1)
"),"ko")</f>
        <v>ko</v>
      </c>
      <c r="F1198" s="30" t="s">
        <v>16</v>
      </c>
      <c r="G1198" s="2"/>
      <c r="H1198" s="1" t="s">
        <v>0</v>
      </c>
      <c r="I1198" s="2"/>
      <c r="J1198" s="2"/>
      <c r="K1198" s="1" t="s">
        <v>15</v>
      </c>
    </row>
    <row r="1199" ht="15.75" customHeight="1">
      <c r="A1199" s="1">
        <v>1198.0</v>
      </c>
      <c r="B1199" s="1">
        <v>28.0</v>
      </c>
      <c r="C1199" s="4" t="s">
        <v>53</v>
      </c>
      <c r="D1199" s="38" t="str">
        <f>IFERROR(__xludf.DUMMYFUNCTION("LET(
  words, TRANSPOSE(SPLIT($C1199,""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)"),"kala ko kami lang gumagawa")</f>
        <v>kala ko kami lang gumagawa</v>
      </c>
      <c r="E1199" s="39" t="str">
        <f>IFERROR(__xludf.DUMMYFUNCTION("INDEX(SPLIT($C1199,"" ""), ROW()-ROW($E$1150)+1)
"),"kami")</f>
        <v>kami</v>
      </c>
      <c r="F1199" s="30" t="s">
        <v>16</v>
      </c>
      <c r="G1199" s="2"/>
      <c r="H1199" s="1" t="s">
        <v>0</v>
      </c>
      <c r="I1199" s="2"/>
      <c r="J1199" s="2"/>
      <c r="K1199" s="1" t="s">
        <v>15</v>
      </c>
    </row>
    <row r="1200" ht="15.75" customHeight="1">
      <c r="A1200" s="1">
        <v>1199.0</v>
      </c>
      <c r="B1200" s="1">
        <v>28.0</v>
      </c>
      <c r="C1200" s="4" t="s">
        <v>53</v>
      </c>
      <c r="D1200" s="38" t="str">
        <f>IFERROR(__xludf.DUMMYFUNCTION("LET(
  words, TRANSPOSE(SPLIT($C1200,""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)"),"ko kami lang gumagawa niyan")</f>
        <v>ko kami lang gumagawa niyan</v>
      </c>
      <c r="E1200" s="39" t="str">
        <f>IFERROR(__xludf.DUMMYFUNCTION("INDEX(SPLIT($C1200,"" ""), ROW()-ROW($E$1150)+1)
"),"lang")</f>
        <v>lang</v>
      </c>
      <c r="F1200" s="30" t="s">
        <v>16</v>
      </c>
      <c r="G1200" s="2"/>
      <c r="H1200" s="1" t="s">
        <v>0</v>
      </c>
      <c r="I1200" s="2"/>
      <c r="J1200" s="2"/>
      <c r="K1200" s="1" t="s">
        <v>15</v>
      </c>
    </row>
    <row r="1201" ht="15.75" customHeight="1">
      <c r="A1201" s="1">
        <v>1200.0</v>
      </c>
      <c r="B1201" s="1">
        <v>28.0</v>
      </c>
      <c r="C1201" s="4" t="s">
        <v>53</v>
      </c>
      <c r="D1201" s="38" t="str">
        <f>IFERROR(__xludf.DUMMYFUNCTION("LET(
  words, TRANSPOSE(SPLIT($C1201,""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)"),"kami lang gumagawa niyan ,")</f>
        <v>kami lang gumagawa niyan ,</v>
      </c>
      <c r="E1201" s="39" t="str">
        <f>IFERROR(__xludf.DUMMYFUNCTION("INDEX(SPLIT($C1201,"" ""), ROW()-ROW($E$1150)+1)
"),"gumagawa")</f>
        <v>gumagawa</v>
      </c>
      <c r="F1201" s="30" t="s">
        <v>16</v>
      </c>
      <c r="G1201" s="2"/>
      <c r="H1201" s="1" t="s">
        <v>0</v>
      </c>
      <c r="I1201" s="2"/>
      <c r="J1201" s="2"/>
      <c r="K1201" s="1" t="s">
        <v>15</v>
      </c>
    </row>
    <row r="1202" ht="15.75" customHeight="1">
      <c r="A1202" s="1">
        <v>1201.0</v>
      </c>
      <c r="B1202" s="1">
        <v>28.0</v>
      </c>
      <c r="C1202" s="4" t="s">
        <v>53</v>
      </c>
      <c r="D1202" s="38" t="str">
        <f>IFERROR(__xludf.DUMMYFUNCTION("LET(
  words, TRANSPOSE(SPLIT($C1202,""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)"),"lang gumagawa niyan , pati")</f>
        <v>lang gumagawa niyan , pati</v>
      </c>
      <c r="E1202" s="39" t="str">
        <f>IFERROR(__xludf.DUMMYFUNCTION("INDEX(SPLIT($C1202,"" ""), ROW()-ROW($E$1150)+1)
"),"niyan")</f>
        <v>niyan</v>
      </c>
      <c r="F1202" s="30" t="s">
        <v>16</v>
      </c>
      <c r="G1202" s="2"/>
      <c r="H1202" s="1" t="s">
        <v>0</v>
      </c>
      <c r="I1202" s="2"/>
      <c r="J1202" s="2"/>
      <c r="K1202" s="1" t="s">
        <v>15</v>
      </c>
    </row>
    <row r="1203" ht="15.75" customHeight="1">
      <c r="A1203" s="1">
        <v>1202.0</v>
      </c>
      <c r="B1203" s="1">
        <v>28.0</v>
      </c>
      <c r="C1203" s="4" t="s">
        <v>53</v>
      </c>
      <c r="D1203" s="38" t="str">
        <f>IFERROR(__xludf.DUMMYFUNCTION("LET(
  words, TRANSPOSE(SPLIT($C1203,""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)"),"gumagawa niyan , pati pala")</f>
        <v>gumagawa niyan , pati pala</v>
      </c>
      <c r="E1203" s="39" t="str">
        <f>IFERROR(__xludf.DUMMYFUNCTION("INDEX(SPLIT($C1203,"" ""), ROW()-ROW($E$1150)+1)
"),",")</f>
        <v>,</v>
      </c>
      <c r="F1203" s="30" t="s">
        <v>17</v>
      </c>
      <c r="G1203" s="2"/>
      <c r="H1203" s="1" t="s">
        <v>0</v>
      </c>
      <c r="I1203" s="2"/>
      <c r="J1203" s="2"/>
      <c r="K1203" s="1" t="s">
        <v>15</v>
      </c>
    </row>
    <row r="1204" ht="15.75" customHeight="1">
      <c r="A1204" s="1">
        <v>1203.0</v>
      </c>
      <c r="B1204" s="1">
        <v>28.0</v>
      </c>
      <c r="C1204" s="4" t="s">
        <v>53</v>
      </c>
      <c r="D1204" s="38" t="str">
        <f>IFERROR(__xludf.DUMMYFUNCTION("LET(
  words, TRANSPOSE(SPLIT($C1204,""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)"),"niyan , pati pala artista")</f>
        <v>niyan , pati pala artista</v>
      </c>
      <c r="E1204" s="39" t="str">
        <f>IFERROR(__xludf.DUMMYFUNCTION("INDEX(SPLIT($C1204,"" ""), ROW()-ROW($E$1150)+1)
"),"pati")</f>
        <v>pati</v>
      </c>
      <c r="F1204" s="30" t="s">
        <v>16</v>
      </c>
      <c r="G1204" s="2"/>
      <c r="H1204" s="1" t="s">
        <v>0</v>
      </c>
      <c r="I1204" s="2"/>
      <c r="J1204" s="2"/>
      <c r="K1204" s="1" t="s">
        <v>15</v>
      </c>
    </row>
    <row r="1205" ht="15.75" customHeight="1">
      <c r="A1205" s="1">
        <v>1204.0</v>
      </c>
      <c r="B1205" s="1">
        <v>28.0</v>
      </c>
      <c r="C1205" s="4" t="s">
        <v>53</v>
      </c>
      <c r="D1205" s="38" t="str">
        <f>IFERROR(__xludf.DUMMYFUNCTION("LET(
  words, TRANSPOSE(SPLIT($C1205,""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)"),", pati pala artista .")</f>
        <v>, pati pala artista .</v>
      </c>
      <c r="E1205" s="39" t="str">
        <f>IFERROR(__xludf.DUMMYFUNCTION("INDEX(SPLIT($C1205,"" ""), ROW()-ROW($E$1150)+1)
"),"pala")</f>
        <v>pala</v>
      </c>
      <c r="F1205" s="30" t="s">
        <v>16</v>
      </c>
      <c r="G1205" s="2"/>
      <c r="H1205" s="1" t="s">
        <v>0</v>
      </c>
      <c r="I1205" s="2"/>
      <c r="J1205" s="2"/>
      <c r="K1205" s="1" t="s">
        <v>15</v>
      </c>
    </row>
    <row r="1206" ht="15.75" customHeight="1">
      <c r="A1206" s="1">
        <v>1205.0</v>
      </c>
      <c r="B1206" s="1">
        <v>28.0</v>
      </c>
      <c r="C1206" s="4" t="s">
        <v>53</v>
      </c>
      <c r="D1206" s="38" t="str">
        <f>IFERROR(__xludf.DUMMYFUNCTION("LET(
  words, TRANSPOSE(SPLIT($C1206,""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)"),"pati pala artista . """)</f>
        <v>pati pala artista . "</v>
      </c>
      <c r="E1206" s="39" t="str">
        <f>IFERROR(__xludf.DUMMYFUNCTION("INDEX(SPLIT($C1206,"" ""), ROW()-ROW($E$1150)+1)
"),"artista")</f>
        <v>artista</v>
      </c>
      <c r="F1206" s="30" t="s">
        <v>16</v>
      </c>
      <c r="G1206" s="2"/>
      <c r="H1206" s="1" t="s">
        <v>0</v>
      </c>
      <c r="I1206" s="2"/>
      <c r="J1206" s="2"/>
      <c r="K1206" s="1" t="s">
        <v>15</v>
      </c>
    </row>
    <row r="1207" ht="15.75" customHeight="1">
      <c r="A1207" s="1">
        <v>1206.0</v>
      </c>
      <c r="B1207" s="1">
        <v>28.0</v>
      </c>
      <c r="C1207" s="4" t="s">
        <v>53</v>
      </c>
      <c r="D1207" s="38" t="str">
        <f>IFERROR(__xludf.DUMMYFUNCTION("LET(
  words, TRANSPOSE(SPLIT($C1207,""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)"),"pala artista . "" game")</f>
        <v>pala artista . " game</v>
      </c>
      <c r="E1207" s="39" t="str">
        <f>IFERROR(__xludf.DUMMYFUNCTION("INDEX(SPLIT($C1207,"" ""), ROW()-ROW($E$1150)+1)
"),".")</f>
        <v>.</v>
      </c>
      <c r="F1207" s="30" t="s">
        <v>17</v>
      </c>
      <c r="G1207" s="2"/>
      <c r="H1207" s="1" t="s">
        <v>0</v>
      </c>
      <c r="I1207" s="2"/>
      <c r="J1207" s="2"/>
      <c r="K1207" s="1" t="s">
        <v>15</v>
      </c>
    </row>
    <row r="1208" ht="15.75" customHeight="1">
      <c r="A1208" s="1">
        <v>1207.0</v>
      </c>
      <c r="B1208" s="1">
        <v>28.0</v>
      </c>
      <c r="C1208" s="4" t="s">
        <v>53</v>
      </c>
      <c r="D1208" s="38" t="str">
        <f>IFERROR(__xludf.DUMMYFUNCTION("LET(
  words, TRANSPOSE(SPLIT($C1208,""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)"),"artista . "" game na")</f>
        <v>artista . " game na</v>
      </c>
      <c r="E1208" s="39" t="str">
        <f>IFERROR(__xludf.DUMMYFUNCTION("INDEX(SPLIT($C1208,"" ""), ROW()-ROW($E$1150)+1)
"),"""")</f>
        <v>"</v>
      </c>
      <c r="F1208" s="30" t="s">
        <v>17</v>
      </c>
      <c r="G1208" s="2"/>
      <c r="H1208" s="1" t="s">
        <v>0</v>
      </c>
      <c r="I1208" s="2"/>
      <c r="J1208" s="2"/>
      <c r="K1208" s="1" t="s">
        <v>15</v>
      </c>
    </row>
    <row r="1209" ht="15.75" customHeight="1">
      <c r="A1209" s="1">
        <v>1208.0</v>
      </c>
      <c r="B1209" s="1">
        <v>28.0</v>
      </c>
      <c r="C1209" s="4" t="s">
        <v>53</v>
      </c>
      <c r="D1209" s="38" t="str">
        <f>IFERROR(__xludf.DUMMYFUNCTION("LET(
  words, TRANSPOSE(SPLIT($C1209,""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)"),". "" game na game")</f>
        <v>. " game na game</v>
      </c>
      <c r="E1209" s="39" t="str">
        <f>IFERROR(__xludf.DUMMYFUNCTION("INDEX(SPLIT($C1209,"" ""), ROW()-ROW($E$1150)+1)
"),"game")</f>
        <v>game</v>
      </c>
      <c r="F1209" s="30" t="s">
        <v>18</v>
      </c>
      <c r="G1209" s="2"/>
      <c r="H1209" s="1" t="s">
        <v>0</v>
      </c>
      <c r="I1209" s="2"/>
      <c r="J1209" s="2"/>
      <c r="K1209" s="1" t="s">
        <v>15</v>
      </c>
    </row>
    <row r="1210" ht="15.75" customHeight="1">
      <c r="A1210" s="1">
        <v>1209.0</v>
      </c>
      <c r="B1210" s="1">
        <v>28.0</v>
      </c>
      <c r="C1210" s="4" t="s">
        <v>53</v>
      </c>
      <c r="D1210" s="38" t="str">
        <f>IFERROR(__xludf.DUMMYFUNCTION("LET(
  words, TRANSPOSE(SPLIT($C1210,""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)"),""" game na game naman")</f>
        <v>" game na game naman</v>
      </c>
      <c r="E1210" s="39" t="str">
        <f>IFERROR(__xludf.DUMMYFUNCTION("INDEX(SPLIT($C1210,"" ""), ROW()-ROW($E$1150)+1)
"),"na")</f>
        <v>na</v>
      </c>
      <c r="F1210" s="30" t="s">
        <v>16</v>
      </c>
      <c r="G1210" s="2"/>
      <c r="H1210" s="1" t="s">
        <v>0</v>
      </c>
      <c r="I1210" s="2"/>
      <c r="J1210" s="2"/>
      <c r="K1210" s="1" t="s">
        <v>15</v>
      </c>
    </row>
    <row r="1211" ht="15.75" customHeight="1">
      <c r="A1211" s="1">
        <v>1210.0</v>
      </c>
      <c r="B1211" s="1">
        <v>28.0</v>
      </c>
      <c r="C1211" s="4" t="s">
        <v>53</v>
      </c>
      <c r="D1211" s="38" t="str">
        <f>IFERROR(__xludf.DUMMYFUNCTION("LET(
  words, TRANSPOSE(SPLIT($C1211,""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)"),"game na game naman ang")</f>
        <v>game na game naman ang</v>
      </c>
      <c r="E1211" s="39" t="str">
        <f>IFERROR(__xludf.DUMMYFUNCTION("INDEX(SPLIT($C1211,"" ""), ROW()-ROW($E$1150)+1)
"),"game")</f>
        <v>game</v>
      </c>
      <c r="F1211" s="30" t="s">
        <v>18</v>
      </c>
      <c r="G1211" s="2"/>
      <c r="H1211" s="1" t="s">
        <v>0</v>
      </c>
      <c r="I1211" s="2"/>
      <c r="J1211" s="2"/>
      <c r="K1211" s="1" t="s">
        <v>15</v>
      </c>
    </row>
    <row r="1212" ht="15.75" customHeight="1">
      <c r="A1212" s="1">
        <v>1211.0</v>
      </c>
      <c r="B1212" s="1">
        <v>28.0</v>
      </c>
      <c r="C1212" s="4" t="s">
        <v>53</v>
      </c>
      <c r="D1212" s="38" t="str">
        <f>IFERROR(__xludf.DUMMYFUNCTION("LET(
  words, TRANSPOSE(SPLIT($C1212,""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)"),"na game naman ang aktres")</f>
        <v>na game naman ang aktres</v>
      </c>
      <c r="E1212" s="39" t="str">
        <f>IFERROR(__xludf.DUMMYFUNCTION("INDEX(SPLIT($C1212,"" ""), ROW()-ROW($E$1150)+1)
"),"naman")</f>
        <v>naman</v>
      </c>
      <c r="F1212" s="30" t="s">
        <v>16</v>
      </c>
      <c r="G1212" s="2"/>
      <c r="H1212" s="1" t="s">
        <v>0</v>
      </c>
      <c r="I1212" s="2"/>
      <c r="J1212" s="2"/>
      <c r="K1212" s="1" t="s">
        <v>15</v>
      </c>
    </row>
    <row r="1213" ht="15.75" customHeight="1">
      <c r="A1213" s="1">
        <v>1212.0</v>
      </c>
      <c r="B1213" s="1">
        <v>28.0</v>
      </c>
      <c r="C1213" s="4" t="s">
        <v>53</v>
      </c>
      <c r="D1213" s="38" t="str">
        <f>IFERROR(__xludf.DUMMYFUNCTION("LET(
  words, TRANSPOSE(SPLIT($C1213,""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)"),"game naman ang aktres sa")</f>
        <v>game naman ang aktres sa</v>
      </c>
      <c r="E1213" s="39" t="str">
        <f>IFERROR(__xludf.DUMMYFUNCTION("INDEX(SPLIT($C1213,"" ""), ROW()-ROW($E$1150)+1)
"),"ang")</f>
        <v>ang</v>
      </c>
      <c r="F1213" s="30" t="s">
        <v>16</v>
      </c>
      <c r="G1213" s="2"/>
      <c r="H1213" s="1" t="s">
        <v>0</v>
      </c>
      <c r="I1213" s="2"/>
      <c r="J1213" s="2"/>
      <c r="K1213" s="1" t="s">
        <v>15</v>
      </c>
    </row>
    <row r="1214" ht="15.75" customHeight="1">
      <c r="A1214" s="1">
        <v>1213.0</v>
      </c>
      <c r="B1214" s="1">
        <v>28.0</v>
      </c>
      <c r="C1214" s="4" t="s">
        <v>53</v>
      </c>
      <c r="D1214" s="38" t="str">
        <f>IFERROR(__xludf.DUMMYFUNCTION("LET(
  words, TRANSPOSE(SPLIT($C1214,""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)"),"naman ang aktres sa kanyang")</f>
        <v>naman ang aktres sa kanyang</v>
      </c>
      <c r="E1214" s="39" t="str">
        <f>IFERROR(__xludf.DUMMYFUNCTION("INDEX(SPLIT($C1214,"" ""), ROW()-ROW($E$1150)+1)
"),"aktres")</f>
        <v>aktres</v>
      </c>
      <c r="F1214" s="30" t="s">
        <v>16</v>
      </c>
      <c r="G1214" s="2"/>
      <c r="H1214" s="1" t="s">
        <v>0</v>
      </c>
      <c r="I1214" s="2"/>
      <c r="J1214" s="2"/>
      <c r="K1214" s="1" t="s">
        <v>15</v>
      </c>
    </row>
    <row r="1215" ht="15.75" customHeight="1">
      <c r="A1215" s="1">
        <v>1214.0</v>
      </c>
      <c r="B1215" s="1">
        <v>28.0</v>
      </c>
      <c r="C1215" s="4" t="s">
        <v>53</v>
      </c>
      <c r="D1215" s="38" t="str">
        <f>IFERROR(__xludf.DUMMYFUNCTION("LET(
  words, TRANSPOSE(SPLIT($C1215,""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)"),"ang aktres sa kanyang sagot")</f>
        <v>ang aktres sa kanyang sagot</v>
      </c>
      <c r="E1215" s="39" t="str">
        <f>IFERROR(__xludf.DUMMYFUNCTION("INDEX(SPLIT($C1215,"" ""), ROW()-ROW($E$1150)+1)
"),"sa")</f>
        <v>sa</v>
      </c>
      <c r="F1215" s="30" t="s">
        <v>16</v>
      </c>
      <c r="G1215" s="2"/>
      <c r="H1215" s="1" t="s">
        <v>0</v>
      </c>
      <c r="I1215" s="2"/>
      <c r="J1215" s="2"/>
      <c r="K1215" s="1" t="s">
        <v>15</v>
      </c>
    </row>
    <row r="1216" ht="15.75" customHeight="1">
      <c r="A1216" s="1">
        <v>1215.0</v>
      </c>
      <c r="B1216" s="1">
        <v>28.0</v>
      </c>
      <c r="C1216" s="4" t="s">
        <v>53</v>
      </c>
      <c r="D1216" s="38" t="str">
        <f>IFERROR(__xludf.DUMMYFUNCTION("LET(
  words, TRANSPOSE(SPLIT($C1216,""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)"),"aktres sa kanyang sagot :")</f>
        <v>aktres sa kanyang sagot :</v>
      </c>
      <c r="E1216" s="39" t="str">
        <f>IFERROR(__xludf.DUMMYFUNCTION("INDEX(SPLIT($C1216,"" ""), ROW()-ROW($E$1150)+1)
"),"kanyang")</f>
        <v>kanyang</v>
      </c>
      <c r="F1216" s="30" t="s">
        <v>16</v>
      </c>
      <c r="G1216" s="2"/>
      <c r="H1216" s="1" t="s">
        <v>0</v>
      </c>
      <c r="I1216" s="2"/>
      <c r="J1216" s="2"/>
      <c r="K1216" s="1" t="s">
        <v>15</v>
      </c>
    </row>
    <row r="1217" ht="15.75" customHeight="1">
      <c r="A1217" s="1">
        <v>1216.0</v>
      </c>
      <c r="B1217" s="1">
        <v>28.0</v>
      </c>
      <c r="C1217" s="4" t="s">
        <v>53</v>
      </c>
      <c r="D1217" s="38" t="str">
        <f>IFERROR(__xludf.DUMMYFUNCTION("LET(
  words, TRANSPOSE(SPLIT($C1217,""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)"),"sa kanyang sagot : """)</f>
        <v>sa kanyang sagot : "</v>
      </c>
      <c r="E1217" s="39" t="str">
        <f>IFERROR(__xludf.DUMMYFUNCTION("INDEX(SPLIT($C1217,"" ""), ROW()-ROW($E$1150)+1)
"),"sagot")</f>
        <v>sagot</v>
      </c>
      <c r="F1217" s="30" t="s">
        <v>16</v>
      </c>
      <c r="G1217" s="2"/>
      <c r="H1217" s="1" t="s">
        <v>0</v>
      </c>
      <c r="I1217" s="2"/>
      <c r="J1217" s="2"/>
      <c r="K1217" s="1" t="s">
        <v>15</v>
      </c>
    </row>
    <row r="1218" ht="15.75" customHeight="1">
      <c r="A1218" s="1">
        <v>1217.0</v>
      </c>
      <c r="B1218" s="1">
        <v>28.0</v>
      </c>
      <c r="C1218" s="4" t="s">
        <v>53</v>
      </c>
      <c r="D1218" s="38" t="str">
        <f>IFERROR(__xludf.DUMMYFUNCTION("LET(
  words, TRANSPOSE(SPLIT($C1218,""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)"),"kanyang sagot : "" oo")</f>
        <v>kanyang sagot : " oo</v>
      </c>
      <c r="E1218" s="39" t="str">
        <f>IFERROR(__xludf.DUMMYFUNCTION("INDEX(SPLIT($C1218,"" ""), ROW()-ROW($E$1150)+1)
"),":")</f>
        <v>:</v>
      </c>
      <c r="F1218" s="30" t="s">
        <v>17</v>
      </c>
      <c r="G1218" s="2"/>
      <c r="H1218" s="1" t="s">
        <v>0</v>
      </c>
      <c r="I1218" s="2"/>
      <c r="J1218" s="2"/>
      <c r="K1218" s="1" t="s">
        <v>15</v>
      </c>
    </row>
    <row r="1219" ht="15.75" customHeight="1">
      <c r="A1219" s="1">
        <v>1218.0</v>
      </c>
      <c r="B1219" s="1">
        <v>28.0</v>
      </c>
      <c r="C1219" s="4" t="s">
        <v>53</v>
      </c>
      <c r="D1219" s="38" t="str">
        <f>IFERROR(__xludf.DUMMYFUNCTION("LET(
  words, TRANSPOSE(SPLIT($C1219,""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)"),"sagot : "" oo naman")</f>
        <v>sagot : " oo naman</v>
      </c>
      <c r="E1219" s="39" t="str">
        <f>IFERROR(__xludf.DUMMYFUNCTION("INDEX(SPLIT($C1219,"" ""), ROW()-ROW($E$1150)+1)
"),"""")</f>
        <v>"</v>
      </c>
      <c r="F1219" s="30" t="s">
        <v>17</v>
      </c>
      <c r="G1219" s="2"/>
      <c r="H1219" s="1" t="s">
        <v>0</v>
      </c>
      <c r="I1219" s="2"/>
      <c r="J1219" s="2"/>
      <c r="K1219" s="1" t="s">
        <v>15</v>
      </c>
    </row>
    <row r="1220" ht="15.75" customHeight="1">
      <c r="A1220" s="1">
        <v>1219.0</v>
      </c>
      <c r="B1220" s="1">
        <v>28.0</v>
      </c>
      <c r="C1220" s="4" t="s">
        <v>53</v>
      </c>
      <c r="D1220" s="38" t="str">
        <f>IFERROR(__xludf.DUMMYFUNCTION("LET(
  words, TRANSPOSE(SPLIT($C1220,""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)"),": "" oo naman ,")</f>
        <v>: " oo naman ,</v>
      </c>
      <c r="E1220" s="39" t="str">
        <f>IFERROR(__xludf.DUMMYFUNCTION("INDEX(SPLIT($C1220,"" ""), ROW()-ROW($E$1150)+1)
"),"oo")</f>
        <v>oo</v>
      </c>
      <c r="F1220" s="30" t="s">
        <v>16</v>
      </c>
      <c r="G1220" s="2"/>
      <c r="H1220" s="1" t="s">
        <v>0</v>
      </c>
      <c r="I1220" s="2"/>
      <c r="J1220" s="2"/>
      <c r="K1220" s="1" t="s">
        <v>15</v>
      </c>
    </row>
    <row r="1221" ht="15.75" customHeight="1">
      <c r="A1221" s="1">
        <v>1220.0</v>
      </c>
      <c r="B1221" s="1">
        <v>28.0</v>
      </c>
      <c r="C1221" s="4" t="s">
        <v>53</v>
      </c>
      <c r="D1221" s="38" t="str">
        <f>IFERROR(__xludf.DUMMYFUNCTION("LET(
  words, TRANSPOSE(SPLIT($C1221,""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)"),""" oo naman , sarap")</f>
        <v>" oo naman , sarap</v>
      </c>
      <c r="E1221" s="39" t="str">
        <f>IFERROR(__xludf.DUMMYFUNCTION("INDEX(SPLIT($C1221,"" ""), ROW()-ROW($E$1150)+1)
"),"naman")</f>
        <v>naman</v>
      </c>
      <c r="F1221" s="30" t="s">
        <v>16</v>
      </c>
      <c r="G1221" s="2"/>
      <c r="H1221" s="1" t="s">
        <v>0</v>
      </c>
      <c r="I1221" s="2"/>
      <c r="J1221" s="2"/>
      <c r="K1221" s="1" t="s">
        <v>15</v>
      </c>
    </row>
    <row r="1222" ht="15.75" customHeight="1">
      <c r="A1222" s="1">
        <v>1221.0</v>
      </c>
      <c r="B1222" s="1">
        <v>28.0</v>
      </c>
      <c r="C1222" s="4" t="s">
        <v>53</v>
      </c>
      <c r="D1222" s="38" t="str">
        <f>IFERROR(__xludf.DUMMYFUNCTION("LET(
  words, TRANSPOSE(SPLIT($C1222,""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)"),"oo naman , sarap pantulog")</f>
        <v>oo naman , sarap pantulog</v>
      </c>
      <c r="E1222" s="39" t="str">
        <f>IFERROR(__xludf.DUMMYFUNCTION("INDEX(SPLIT($C1222,"" ""), ROW()-ROW($E$1150)+1)
"),",")</f>
        <v>,</v>
      </c>
      <c r="F1222" s="30" t="s">
        <v>17</v>
      </c>
      <c r="G1222" s="2"/>
      <c r="H1222" s="1" t="s">
        <v>0</v>
      </c>
      <c r="I1222" s="2"/>
      <c r="J1222" s="2"/>
      <c r="K1222" s="1" t="s">
        <v>15</v>
      </c>
    </row>
    <row r="1223" ht="15.75" customHeight="1">
      <c r="A1223" s="1">
        <v>1222.0</v>
      </c>
      <c r="B1223" s="1">
        <v>28.0</v>
      </c>
      <c r="C1223" s="4" t="s">
        <v>53</v>
      </c>
      <c r="D1223" s="38" t="str">
        <f>IFERROR(__xludf.DUMMYFUNCTION("LET(
  words, TRANSPOSE(SPLIT($C1223,""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)"),"naman , sarap pantulog !")</f>
        <v>naman , sarap pantulog !</v>
      </c>
      <c r="E1223" s="39" t="str">
        <f>IFERROR(__xludf.DUMMYFUNCTION("INDEX(SPLIT($C1223,"" ""), ROW()-ROW($E$1150)+1)
"),"sarap")</f>
        <v>sarap</v>
      </c>
      <c r="F1223" s="30" t="s">
        <v>16</v>
      </c>
      <c r="G1223" s="2"/>
      <c r="H1223" s="1" t="s">
        <v>0</v>
      </c>
      <c r="I1223" s="2"/>
      <c r="J1223" s="2"/>
      <c r="K1223" s="1" t="s">
        <v>15</v>
      </c>
    </row>
    <row r="1224" ht="15.75" customHeight="1">
      <c r="A1224" s="1">
        <v>1223.0</v>
      </c>
      <c r="B1224" s="1">
        <v>28.0</v>
      </c>
      <c r="C1224" s="4" t="s">
        <v>53</v>
      </c>
      <c r="D1224" s="38" t="str">
        <f>IFERROR(__xludf.DUMMYFUNCTION("LET(
  words, TRANSPOSE(SPLIT($C1224,""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)"),", sarap pantulog ! """)</f>
        <v>, sarap pantulog ! "</v>
      </c>
      <c r="E1224" s="39" t="str">
        <f>IFERROR(__xludf.DUMMYFUNCTION("INDEX(SPLIT($C1224,"" ""), ROW()-ROW($E$1150)+1)
"),"pantulog")</f>
        <v>pantulog</v>
      </c>
      <c r="F1224" s="30" t="s">
        <v>16</v>
      </c>
      <c r="G1224" s="2"/>
      <c r="H1224" s="1" t="s">
        <v>0</v>
      </c>
      <c r="I1224" s="2"/>
      <c r="J1224" s="2"/>
      <c r="K1224" s="1" t="s">
        <v>15</v>
      </c>
    </row>
    <row r="1225" ht="15.75" customHeight="1">
      <c r="A1225" s="1">
        <v>1224.0</v>
      </c>
      <c r="B1225" s="1">
        <v>28.0</v>
      </c>
      <c r="C1225" s="4" t="s">
        <v>53</v>
      </c>
      <c r="D1225" s="38" t="str">
        <f>IFERROR(__xludf.DUMMYFUNCTION("LET(
  words, TRANSPOSE(SPLIT($C1225,""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)"),"sarap pantulog ! """)</f>
        <v>sarap pantulog ! "</v>
      </c>
      <c r="E1225" s="39" t="str">
        <f>IFERROR(__xludf.DUMMYFUNCTION("INDEX(SPLIT($C1225,"" ""), ROW()-ROW($E$1150)+1)
"),"!")</f>
        <v>!</v>
      </c>
      <c r="F1225" s="30" t="s">
        <v>17</v>
      </c>
      <c r="G1225" s="2"/>
      <c r="H1225" s="1" t="s">
        <v>0</v>
      </c>
      <c r="I1225" s="2"/>
      <c r="J1225" s="2"/>
      <c r="K1225" s="1" t="s">
        <v>15</v>
      </c>
    </row>
    <row r="1226" ht="15.75" customHeight="1">
      <c r="A1226" s="10">
        <v>1225.0</v>
      </c>
      <c r="B1226" s="10">
        <v>28.0</v>
      </c>
      <c r="C1226" s="7" t="s">
        <v>53</v>
      </c>
      <c r="D1226" s="40" t="str">
        <f>IFERROR(__xludf.DUMMYFUNCTION("LET(
  words, TRANSPOSE(SPLIT($C1226,"" "")),
  n, ROWS(words),
  i, ROW() - ROW($D$1150)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)"),"pantulog ! """)</f>
        <v>pantulog ! "</v>
      </c>
      <c r="E1226" s="41" t="str">
        <f>IFERROR(__xludf.DUMMYFUNCTION("INDEX(SPLIT($C1226,"" ""), ROW()-ROW($E$1150)+1)
"),"""")</f>
        <v>"</v>
      </c>
      <c r="F1226" s="32" t="s">
        <v>17</v>
      </c>
      <c r="G1226" s="6"/>
      <c r="H1226" s="10" t="s">
        <v>0</v>
      </c>
      <c r="I1226" s="6"/>
      <c r="J1226" s="6"/>
      <c r="K1226" s="10" t="s">
        <v>15</v>
      </c>
      <c r="L1226" s="6"/>
    </row>
    <row r="1227" ht="15.75" customHeight="1">
      <c r="A1227" s="1">
        <v>1226.0</v>
      </c>
      <c r="B1227" s="1">
        <v>29.0</v>
      </c>
      <c r="C1227" s="4" t="s">
        <v>54</v>
      </c>
      <c r="D1227" s="38" t="str">
        <f>IFERROR(__xludf.DUMMYFUNCTION("LET(
  words, TRANSPOSE(SPLIT($C1227,""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)"),"baka pwede pang")</f>
        <v>baka pwede pang</v>
      </c>
      <c r="E1227" s="39" t="str">
        <f>IFERROR(__xludf.DUMMYFUNCTION("INDEX(SPLIT($C1227,"" ""), ROW()-ROW($E$1227)+1)
"),"baka")</f>
        <v>baka</v>
      </c>
      <c r="F1227" s="30" t="s">
        <v>16</v>
      </c>
      <c r="G1227" s="2"/>
      <c r="H1227" s="1" t="s">
        <v>0</v>
      </c>
      <c r="I1227" s="2"/>
      <c r="J1227" s="2"/>
      <c r="K1227" s="1" t="s">
        <v>15</v>
      </c>
    </row>
    <row r="1228" ht="15.75" customHeight="1">
      <c r="A1228" s="1">
        <v>1227.0</v>
      </c>
      <c r="B1228" s="1">
        <v>29.0</v>
      </c>
      <c r="C1228" s="4" t="s">
        <v>54</v>
      </c>
      <c r="D1228" s="38" t="str">
        <f>IFERROR(__xludf.DUMMYFUNCTION("LET(
  words, TRANSPOSE(SPLIT($C1228,""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)"),"baka pwede pang lakasan")</f>
        <v>baka pwede pang lakasan</v>
      </c>
      <c r="E1228" s="39" t="str">
        <f>IFERROR(__xludf.DUMMYFUNCTION("INDEX(SPLIT($C1228,"" ""), ROW()-ROW($E$1227)+1)
"),"pwede")</f>
        <v>pwede</v>
      </c>
      <c r="F1228" s="30" t="s">
        <v>16</v>
      </c>
      <c r="G1228" s="2"/>
      <c r="H1228" s="1" t="s">
        <v>0</v>
      </c>
      <c r="I1228" s="2"/>
      <c r="J1228" s="2"/>
      <c r="K1228" s="1" t="s">
        <v>15</v>
      </c>
    </row>
    <row r="1229" ht="15.75" customHeight="1">
      <c r="A1229" s="1">
        <v>1228.0</v>
      </c>
      <c r="B1229" s="1">
        <v>29.0</v>
      </c>
      <c r="C1229" s="4" t="s">
        <v>54</v>
      </c>
      <c r="D1229" s="38" t="str">
        <f>IFERROR(__xludf.DUMMYFUNCTION("LET(
  words, TRANSPOSE(SPLIT($C1229,""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)"),"baka pwede pang lakasan ung")</f>
        <v>baka pwede pang lakasan ung</v>
      </c>
      <c r="E1229" s="39" t="str">
        <f>IFERROR(__xludf.DUMMYFUNCTION("INDEX(SPLIT($C1229,"" ""), ROW()-ROW($E$1227)+1)
"),"pang")</f>
        <v>pang</v>
      </c>
      <c r="F1229" s="30" t="s">
        <v>16</v>
      </c>
      <c r="G1229" s="2"/>
      <c r="H1229" s="1" t="s">
        <v>0</v>
      </c>
      <c r="I1229" s="2"/>
      <c r="J1229" s="2"/>
      <c r="K1229" s="1" t="s">
        <v>15</v>
      </c>
    </row>
    <row r="1230" ht="15.75" customHeight="1">
      <c r="A1230" s="1">
        <v>1229.0</v>
      </c>
      <c r="B1230" s="1">
        <v>29.0</v>
      </c>
      <c r="C1230" s="4" t="s">
        <v>54</v>
      </c>
      <c r="D1230" s="38" t="str">
        <f>IFERROR(__xludf.DUMMYFUNCTION("LET(
  words, TRANSPOSE(SPLIT($C1230,""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)"),"pwede pang lakasan ung volume")</f>
        <v>pwede pang lakasan ung volume</v>
      </c>
      <c r="E1230" s="39" t="str">
        <f>IFERROR(__xludf.DUMMYFUNCTION("INDEX(SPLIT($C1230,"" ""), ROW()-ROW($E$1227)+1)
"),"lakasan")</f>
        <v>lakasan</v>
      </c>
      <c r="F1230" s="30" t="s">
        <v>16</v>
      </c>
      <c r="G1230" s="2"/>
      <c r="H1230" s="1" t="s">
        <v>0</v>
      </c>
      <c r="I1230" s="2"/>
      <c r="J1230" s="2"/>
      <c r="K1230" s="1" t="s">
        <v>15</v>
      </c>
    </row>
    <row r="1231" ht="15.75" customHeight="1">
      <c r="A1231" s="1">
        <v>1230.0</v>
      </c>
      <c r="B1231" s="1">
        <v>29.0</v>
      </c>
      <c r="C1231" s="4" t="s">
        <v>54</v>
      </c>
      <c r="D1231" s="38" t="str">
        <f>IFERROR(__xludf.DUMMYFUNCTION("LET(
  words, TRANSPOSE(SPLIT($C1231,""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)"),"pang lakasan ung volume dun")</f>
        <v>pang lakasan ung volume dun</v>
      </c>
      <c r="E1231" s="39" t="str">
        <f>IFERROR(__xludf.DUMMYFUNCTION("INDEX(SPLIT($C1231,"" ""), ROW()-ROW($E$1227)+1)
"),"ung")</f>
        <v>ung</v>
      </c>
      <c r="F1231" s="30" t="s">
        <v>16</v>
      </c>
      <c r="G1231" s="1" t="s">
        <v>19</v>
      </c>
      <c r="H1231" s="1" t="s">
        <v>0</v>
      </c>
      <c r="I1231" s="2"/>
      <c r="J1231" s="2"/>
      <c r="K1231" s="1" t="s">
        <v>15</v>
      </c>
    </row>
    <row r="1232" ht="15.75" customHeight="1">
      <c r="A1232" s="1">
        <v>1231.0</v>
      </c>
      <c r="B1232" s="1">
        <v>29.0</v>
      </c>
      <c r="C1232" s="4" t="s">
        <v>54</v>
      </c>
      <c r="D1232" s="38" t="str">
        <f>IFERROR(__xludf.DUMMYFUNCTION("LET(
  words, TRANSPOSE(SPLIT($C1232,""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)"),"lakasan ung volume dun sa")</f>
        <v>lakasan ung volume dun sa</v>
      </c>
      <c r="E1232" s="39" t="str">
        <f>IFERROR(__xludf.DUMMYFUNCTION("INDEX(SPLIT($C1232,"" ""), ROW()-ROW($E$1227)+1)
"),"volume")</f>
        <v>volume</v>
      </c>
      <c r="F1232" s="30" t="s">
        <v>18</v>
      </c>
      <c r="G1232" s="2"/>
      <c r="H1232" s="1" t="s">
        <v>0</v>
      </c>
      <c r="I1232" s="2"/>
      <c r="J1232" s="2"/>
      <c r="K1232" s="1" t="s">
        <v>15</v>
      </c>
    </row>
    <row r="1233" ht="15.75" customHeight="1">
      <c r="A1233" s="1">
        <v>1232.0</v>
      </c>
      <c r="B1233" s="1">
        <v>29.0</v>
      </c>
      <c r="C1233" s="4" t="s">
        <v>54</v>
      </c>
      <c r="D1233" s="38" t="str">
        <f>IFERROR(__xludf.DUMMYFUNCTION("LET(
  words, TRANSPOSE(SPLIT($C1233,""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)"),"ung volume dun sa scene")</f>
        <v>ung volume dun sa scene</v>
      </c>
      <c r="E1233" s="39" t="str">
        <f>IFERROR(__xludf.DUMMYFUNCTION("INDEX(SPLIT($C1233,"" ""), ROW()-ROW($E$1227)+1)
"),"dun")</f>
        <v>dun</v>
      </c>
      <c r="F1233" s="30" t="s">
        <v>16</v>
      </c>
      <c r="G1233" s="1" t="s">
        <v>19</v>
      </c>
      <c r="H1233" s="1" t="s">
        <v>0</v>
      </c>
      <c r="I1233" s="2"/>
      <c r="J1233" s="2"/>
      <c r="K1233" s="1" t="s">
        <v>15</v>
      </c>
    </row>
    <row r="1234" ht="15.75" customHeight="1">
      <c r="A1234" s="1">
        <v>1233.0</v>
      </c>
      <c r="B1234" s="1">
        <v>29.0</v>
      </c>
      <c r="C1234" s="4" t="s">
        <v>54</v>
      </c>
      <c r="D1234" s="38" t="str">
        <f>IFERROR(__xludf.DUMMYFUNCTION("LET(
  words, TRANSPOSE(SPLIT($C1234,""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)"),"volume dun sa scene na")</f>
        <v>volume dun sa scene na</v>
      </c>
      <c r="E1234" s="39" t="str">
        <f>IFERROR(__xludf.DUMMYFUNCTION("INDEX(SPLIT($C1234,"" ""), ROW()-ROW($E$1227)+1)
"),"sa")</f>
        <v>sa</v>
      </c>
      <c r="F1234" s="30" t="s">
        <v>16</v>
      </c>
      <c r="G1234" s="2"/>
      <c r="H1234" s="1" t="s">
        <v>0</v>
      </c>
      <c r="I1234" s="2"/>
      <c r="J1234" s="2"/>
      <c r="K1234" s="1" t="s">
        <v>15</v>
      </c>
    </row>
    <row r="1235" ht="15.75" customHeight="1">
      <c r="A1235" s="1">
        <v>1234.0</v>
      </c>
      <c r="B1235" s="1">
        <v>29.0</v>
      </c>
      <c r="C1235" s="4" t="s">
        <v>54</v>
      </c>
      <c r="D1235" s="38" t="str">
        <f>IFERROR(__xludf.DUMMYFUNCTION("LET(
  words, TRANSPOSE(SPLIT($C1235,""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)"),"dun sa scene na naguusap")</f>
        <v>dun sa scene na naguusap</v>
      </c>
      <c r="E1235" s="39" t="str">
        <f>IFERROR(__xludf.DUMMYFUNCTION("INDEX(SPLIT($C1235,"" ""), ROW()-ROW($E$1227)+1)
"),"scene")</f>
        <v>scene</v>
      </c>
      <c r="F1235" s="30" t="s">
        <v>18</v>
      </c>
      <c r="G1235" s="2"/>
      <c r="H1235" s="1" t="s">
        <v>0</v>
      </c>
      <c r="I1235" s="2"/>
      <c r="J1235" s="2"/>
      <c r="K1235" s="1" t="s">
        <v>15</v>
      </c>
    </row>
    <row r="1236" ht="15.75" customHeight="1">
      <c r="A1236" s="1">
        <v>1235.0</v>
      </c>
      <c r="B1236" s="1">
        <v>29.0</v>
      </c>
      <c r="C1236" s="4" t="s">
        <v>54</v>
      </c>
      <c r="D1236" s="38" t="str">
        <f>IFERROR(__xludf.DUMMYFUNCTION("LET(
  words, TRANSPOSE(SPLIT($C1236,""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)"),"sa scene na naguusap c")</f>
        <v>sa scene na naguusap c</v>
      </c>
      <c r="E1236" s="39" t="str">
        <f>IFERROR(__xludf.DUMMYFUNCTION("INDEX(SPLIT($C1236,"" ""), ROW()-ROW($E$1227)+1)
"),"na")</f>
        <v>na</v>
      </c>
      <c r="F1236" s="30" t="s">
        <v>16</v>
      </c>
      <c r="G1236" s="2"/>
      <c r="H1236" s="1" t="s">
        <v>0</v>
      </c>
      <c r="I1236" s="2"/>
      <c r="J1236" s="2"/>
      <c r="K1236" s="1" t="s">
        <v>15</v>
      </c>
    </row>
    <row r="1237" ht="15.75" customHeight="1">
      <c r="A1237" s="1">
        <v>1236.0</v>
      </c>
      <c r="B1237" s="1">
        <v>29.0</v>
      </c>
      <c r="C1237" s="4" t="s">
        <v>54</v>
      </c>
      <c r="D1237" s="38" t="str">
        <f>IFERROR(__xludf.DUMMYFUNCTION("LET(
  words, TRANSPOSE(SPLIT($C1237,""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)"),"scene na naguusap c Dom")</f>
        <v>scene na naguusap c Dom</v>
      </c>
      <c r="E1237" s="39" t="str">
        <f>IFERROR(__xludf.DUMMYFUNCTION("INDEX(SPLIT($C1237,"" ""), ROW()-ROW($E$1227)+1)
"),"naguusap")</f>
        <v>naguusap</v>
      </c>
      <c r="F1237" s="30" t="s">
        <v>16</v>
      </c>
      <c r="G1237" s="2"/>
      <c r="H1237" s="1" t="s">
        <v>0</v>
      </c>
      <c r="I1237" s="2"/>
      <c r="J1237" s="2"/>
      <c r="K1237" s="1" t="s">
        <v>15</v>
      </c>
    </row>
    <row r="1238" ht="15.75" customHeight="1">
      <c r="A1238" s="1">
        <v>1237.0</v>
      </c>
      <c r="B1238" s="1">
        <v>29.0</v>
      </c>
      <c r="C1238" s="4" t="s">
        <v>54</v>
      </c>
      <c r="D1238" s="38" t="str">
        <f>IFERROR(__xludf.DUMMYFUNCTION("LET(
  words, TRANSPOSE(SPLIT($C1238,""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)"),"na naguusap c Dom at")</f>
        <v>na naguusap c Dom at</v>
      </c>
      <c r="E1238" s="39" t="str">
        <f>IFERROR(__xludf.DUMMYFUNCTION("INDEX(SPLIT($C1238,"" ""), ROW()-ROW($E$1227)+1)
"),"c")</f>
        <v>c</v>
      </c>
      <c r="F1238" s="30" t="s">
        <v>16</v>
      </c>
      <c r="G1238" s="1" t="s">
        <v>19</v>
      </c>
      <c r="H1238" s="1" t="s">
        <v>0</v>
      </c>
      <c r="I1238" s="2"/>
      <c r="J1238" s="2"/>
      <c r="K1238" s="1" t="s">
        <v>15</v>
      </c>
    </row>
    <row r="1239" ht="15.75" customHeight="1">
      <c r="A1239" s="1">
        <v>1238.0</v>
      </c>
      <c r="B1239" s="1">
        <v>29.0</v>
      </c>
      <c r="C1239" s="4" t="s">
        <v>54</v>
      </c>
      <c r="D1239" s="38" t="str">
        <f>IFERROR(__xludf.DUMMYFUNCTION("LET(
  words, TRANSPOSE(SPLIT($C1239,""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)"),"naguusap c Dom at c")</f>
        <v>naguusap c Dom at c</v>
      </c>
      <c r="E1239" s="39" t="str">
        <f>IFERROR(__xludf.DUMMYFUNCTION("INDEX(SPLIT($C1239,"" ""), ROW()-ROW($E$1227)+1)
"),"Dom")</f>
        <v>Dom</v>
      </c>
      <c r="F1239" s="30" t="s">
        <v>13</v>
      </c>
      <c r="G1239" s="1" t="s">
        <v>28</v>
      </c>
      <c r="H1239" s="1" t="s">
        <v>0</v>
      </c>
      <c r="I1239" s="2"/>
      <c r="J1239" s="2"/>
      <c r="K1239" s="1" t="s">
        <v>15</v>
      </c>
    </row>
    <row r="1240" ht="15.75" customHeight="1">
      <c r="A1240" s="1">
        <v>1239.0</v>
      </c>
      <c r="B1240" s="1">
        <v>29.0</v>
      </c>
      <c r="C1240" s="4" t="s">
        <v>54</v>
      </c>
      <c r="D1240" s="38" t="str">
        <f>IFERROR(__xludf.DUMMYFUNCTION("LET(
  words, TRANSPOSE(SPLIT($C1240,""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)"),"c Dom at c Kif")</f>
        <v>c Dom at c Kif</v>
      </c>
      <c r="E1240" s="39" t="str">
        <f>IFERROR(__xludf.DUMMYFUNCTION("INDEX(SPLIT($C1240,"" ""), ROW()-ROW($E$1227)+1)
"),"at")</f>
        <v>at</v>
      </c>
      <c r="F1240" s="30" t="s">
        <v>16</v>
      </c>
      <c r="G1240" s="2"/>
      <c r="H1240" s="1" t="s">
        <v>0</v>
      </c>
      <c r="I1240" s="2"/>
      <c r="J1240" s="2"/>
      <c r="K1240" s="1" t="s">
        <v>15</v>
      </c>
    </row>
    <row r="1241" ht="15.75" customHeight="1">
      <c r="A1241" s="1">
        <v>1240.0</v>
      </c>
      <c r="B1241" s="1">
        <v>29.0</v>
      </c>
      <c r="C1241" s="4" t="s">
        <v>54</v>
      </c>
      <c r="D1241" s="38" t="str">
        <f>IFERROR(__xludf.DUMMYFUNCTION("LET(
  words, TRANSPOSE(SPLIT($C1241,""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)"),"Dom at c Kif ,")</f>
        <v>Dom at c Kif ,</v>
      </c>
      <c r="E1241" s="39" t="str">
        <f>IFERROR(__xludf.DUMMYFUNCTION("INDEX(SPLIT($C1241,"" ""), ROW()-ROW($E$1227)+1)
"),"c")</f>
        <v>c</v>
      </c>
      <c r="F1241" s="30" t="s">
        <v>16</v>
      </c>
      <c r="G1241" s="1" t="s">
        <v>19</v>
      </c>
      <c r="H1241" s="1" t="s">
        <v>0</v>
      </c>
      <c r="I1241" s="2"/>
      <c r="J1241" s="2"/>
      <c r="K1241" s="1" t="s">
        <v>15</v>
      </c>
    </row>
    <row r="1242" ht="15.75" customHeight="1">
      <c r="A1242" s="1">
        <v>1241.0</v>
      </c>
      <c r="B1242" s="1">
        <v>29.0</v>
      </c>
      <c r="C1242" s="4" t="s">
        <v>54</v>
      </c>
      <c r="D1242" s="38" t="str">
        <f>IFERROR(__xludf.DUMMYFUNCTION("LET(
  words, TRANSPOSE(SPLIT($C1242,""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)"),"at c Kif , like")</f>
        <v>at c Kif , like</v>
      </c>
      <c r="E1242" s="39" t="str">
        <f>IFERROR(__xludf.DUMMYFUNCTION("INDEX(SPLIT($C1242,"" ""), ROW()-ROW($E$1227)+1)
"),"Kif")</f>
        <v>Kif</v>
      </c>
      <c r="F1242" s="30" t="s">
        <v>13</v>
      </c>
      <c r="G1242" s="1" t="s">
        <v>28</v>
      </c>
      <c r="H1242" s="1" t="s">
        <v>0</v>
      </c>
      <c r="I1242" s="2"/>
      <c r="J1242" s="2"/>
      <c r="K1242" s="1" t="s">
        <v>15</v>
      </c>
    </row>
    <row r="1243" ht="15.75" customHeight="1">
      <c r="A1243" s="1">
        <v>1242.0</v>
      </c>
      <c r="B1243" s="1">
        <v>29.0</v>
      </c>
      <c r="C1243" s="4" t="s">
        <v>54</v>
      </c>
      <c r="D1243" s="38" t="str">
        <f>IFERROR(__xludf.DUMMYFUNCTION("LET(
  words, TRANSPOSE(SPLIT($C1243,""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)"),"c Kif , like maybe")</f>
        <v>c Kif , like maybe</v>
      </c>
      <c r="E1243" s="39" t="str">
        <f>IFERROR(__xludf.DUMMYFUNCTION("INDEX(SPLIT($C1243,"" ""), ROW()-ROW($E$1227)+1)
"),",")</f>
        <v>,</v>
      </c>
      <c r="F1243" s="30" t="s">
        <v>17</v>
      </c>
      <c r="G1243" s="2"/>
      <c r="H1243" s="1" t="s">
        <v>0</v>
      </c>
      <c r="I1243" s="2"/>
      <c r="J1243" s="2"/>
      <c r="K1243" s="1" t="s">
        <v>15</v>
      </c>
    </row>
    <row r="1244" ht="15.75" customHeight="1">
      <c r="A1244" s="1">
        <v>1243.0</v>
      </c>
      <c r="B1244" s="1">
        <v>29.0</v>
      </c>
      <c r="C1244" s="4" t="s">
        <v>54</v>
      </c>
      <c r="D1244" s="38" t="str">
        <f>IFERROR(__xludf.DUMMYFUNCTION("LET(
  words, TRANSPOSE(SPLIT($C1244,""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)"),"Kif , like maybe ung")</f>
        <v>Kif , like maybe ung</v>
      </c>
      <c r="E1244" s="39" t="str">
        <f>IFERROR(__xludf.DUMMYFUNCTION("INDEX(SPLIT($C1244,"" ""), ROW()-ROW($E$1227)+1)
"),"like")</f>
        <v>like</v>
      </c>
      <c r="F1244" s="30" t="s">
        <v>18</v>
      </c>
      <c r="G1244" s="2"/>
      <c r="H1244" s="1" t="s">
        <v>0</v>
      </c>
      <c r="I1244" s="2"/>
      <c r="J1244" s="2"/>
      <c r="K1244" s="1" t="s">
        <v>15</v>
      </c>
    </row>
    <row r="1245" ht="15.75" customHeight="1">
      <c r="A1245" s="1">
        <v>1244.0</v>
      </c>
      <c r="B1245" s="1">
        <v>29.0</v>
      </c>
      <c r="C1245" s="4" t="s">
        <v>54</v>
      </c>
      <c r="D1245" s="38" t="str">
        <f>IFERROR(__xludf.DUMMYFUNCTION("LET(
  words, TRANSPOSE(SPLIT($C1245,""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)"),", like maybe ung background")</f>
        <v>, like maybe ung background</v>
      </c>
      <c r="E1245" s="39" t="str">
        <f>IFERROR(__xludf.DUMMYFUNCTION("INDEX(SPLIT($C1245,"" ""), ROW()-ROW($E$1227)+1)
"),"maybe")</f>
        <v>maybe</v>
      </c>
      <c r="F1245" s="30" t="s">
        <v>18</v>
      </c>
      <c r="G1245" s="2"/>
      <c r="H1245" s="1" t="s">
        <v>0</v>
      </c>
      <c r="I1245" s="2"/>
      <c r="J1245" s="2"/>
      <c r="K1245" s="1" t="s">
        <v>15</v>
      </c>
    </row>
    <row r="1246" ht="15.75" customHeight="1">
      <c r="A1246" s="1">
        <v>1245.0</v>
      </c>
      <c r="B1246" s="1">
        <v>29.0</v>
      </c>
      <c r="C1246" s="4" t="s">
        <v>54</v>
      </c>
      <c r="D1246" s="38" t="str">
        <f>IFERROR(__xludf.DUMMYFUNCTION("LET(
  words, TRANSPOSE(SPLIT($C1246,""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)"),"like maybe ung background music")</f>
        <v>like maybe ung background music</v>
      </c>
      <c r="E1246" s="39" t="str">
        <f>IFERROR(__xludf.DUMMYFUNCTION("INDEX(SPLIT($C1246,"" ""), ROW()-ROW($E$1227)+1)
"),"ung")</f>
        <v>ung</v>
      </c>
      <c r="F1246" s="30" t="s">
        <v>16</v>
      </c>
      <c r="G1246" s="1" t="s">
        <v>19</v>
      </c>
      <c r="H1246" s="1" t="s">
        <v>0</v>
      </c>
      <c r="I1246" s="2"/>
      <c r="J1246" s="2"/>
      <c r="K1246" s="1" t="s">
        <v>15</v>
      </c>
    </row>
    <row r="1247" ht="15.75" customHeight="1">
      <c r="A1247" s="1">
        <v>1246.0</v>
      </c>
      <c r="B1247" s="1">
        <v>29.0</v>
      </c>
      <c r="C1247" s="4" t="s">
        <v>54</v>
      </c>
      <c r="D1247" s="38" t="str">
        <f>IFERROR(__xludf.DUMMYFUNCTION("LET(
  words, TRANSPOSE(SPLIT($C1247,""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)"),"maybe ung background music din")</f>
        <v>maybe ung background music din</v>
      </c>
      <c r="E1247" s="39" t="str">
        <f>IFERROR(__xludf.DUMMYFUNCTION("INDEX(SPLIT($C1247,"" ""), ROW()-ROW($E$1227)+1)
"),"background")</f>
        <v>background</v>
      </c>
      <c r="F1247" s="30" t="s">
        <v>18</v>
      </c>
      <c r="G1247" s="2"/>
      <c r="H1247" s="1" t="s">
        <v>0</v>
      </c>
      <c r="I1247" s="2"/>
      <c r="J1247" s="2"/>
      <c r="K1247" s="1" t="s">
        <v>15</v>
      </c>
    </row>
    <row r="1248" ht="15.75" customHeight="1">
      <c r="A1248" s="1">
        <v>1247.0</v>
      </c>
      <c r="B1248" s="1">
        <v>29.0</v>
      </c>
      <c r="C1248" s="4" t="s">
        <v>54</v>
      </c>
      <c r="D1248" s="38" t="str">
        <f>IFERROR(__xludf.DUMMYFUNCTION("LET(
  words, TRANSPOSE(SPLIT($C1248,""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)"),"ung background music din pwedeng")</f>
        <v>ung background music din pwedeng</v>
      </c>
      <c r="E1248" s="39" t="str">
        <f>IFERROR(__xludf.DUMMYFUNCTION("INDEX(SPLIT($C1248,"" ""), ROW()-ROW($E$1227)+1)
"),"music")</f>
        <v>music</v>
      </c>
      <c r="F1248" s="30" t="s">
        <v>18</v>
      </c>
      <c r="G1248" s="2"/>
      <c r="H1248" s="1" t="s">
        <v>0</v>
      </c>
      <c r="I1248" s="2"/>
      <c r="J1248" s="2"/>
      <c r="K1248" s="1" t="s">
        <v>15</v>
      </c>
    </row>
    <row r="1249" ht="15.75" customHeight="1">
      <c r="A1249" s="1">
        <v>1248.0</v>
      </c>
      <c r="B1249" s="1">
        <v>29.0</v>
      </c>
      <c r="C1249" s="4" t="s">
        <v>54</v>
      </c>
      <c r="D1249" s="38" t="str">
        <f>IFERROR(__xludf.DUMMYFUNCTION("LET(
  words, TRANSPOSE(SPLIT($C1249,""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)"),"background music din pwedeng dagdagan")</f>
        <v>background music din pwedeng dagdagan</v>
      </c>
      <c r="E1249" s="39" t="str">
        <f>IFERROR(__xludf.DUMMYFUNCTION("INDEX(SPLIT($C1249,"" ""), ROW()-ROW($E$1227)+1)
"),"din")</f>
        <v>din</v>
      </c>
      <c r="F1249" s="30" t="s">
        <v>16</v>
      </c>
      <c r="G1249" s="2"/>
      <c r="H1249" s="1" t="s">
        <v>0</v>
      </c>
      <c r="I1249" s="2"/>
      <c r="J1249" s="2"/>
      <c r="K1249" s="1" t="s">
        <v>15</v>
      </c>
    </row>
    <row r="1250" ht="15.75" customHeight="1">
      <c r="A1250" s="1">
        <v>1249.0</v>
      </c>
      <c r="B1250" s="1">
        <v>29.0</v>
      </c>
      <c r="C1250" s="4" t="s">
        <v>54</v>
      </c>
      <c r="D1250" s="38" t="str">
        <f>IFERROR(__xludf.DUMMYFUNCTION("LET(
  words, TRANSPOSE(SPLIT($C1250,""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)"),"music din pwedeng dagdagan ,")</f>
        <v>music din pwedeng dagdagan ,</v>
      </c>
      <c r="E1250" s="39" t="str">
        <f>IFERROR(__xludf.DUMMYFUNCTION("INDEX(SPLIT($C1250,"" ""), ROW()-ROW($E$1227)+1)
"),"pwedeng")</f>
        <v>pwedeng</v>
      </c>
      <c r="F1250" s="30" t="s">
        <v>16</v>
      </c>
      <c r="G1250" s="2"/>
      <c r="H1250" s="1" t="s">
        <v>0</v>
      </c>
      <c r="I1250" s="2"/>
      <c r="J1250" s="2"/>
      <c r="K1250" s="1" t="s">
        <v>15</v>
      </c>
    </row>
    <row r="1251" ht="15.75" customHeight="1">
      <c r="A1251" s="1">
        <v>1250.0</v>
      </c>
      <c r="B1251" s="1">
        <v>29.0</v>
      </c>
      <c r="C1251" s="4" t="s">
        <v>54</v>
      </c>
      <c r="D1251" s="38" t="str">
        <f>IFERROR(__xludf.DUMMYFUNCTION("LET(
  words, TRANSPOSE(SPLIT($C1251,""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)"),"din pwedeng dagdagan , like")</f>
        <v>din pwedeng dagdagan , like</v>
      </c>
      <c r="E1251" s="39" t="str">
        <f>IFERROR(__xludf.DUMMYFUNCTION("INDEX(SPLIT($C1251,"" ""), ROW()-ROW($E$1227)+1)
"),"dagdagan")</f>
        <v>dagdagan</v>
      </c>
      <c r="F1251" s="30" t="s">
        <v>16</v>
      </c>
      <c r="G1251" s="2"/>
      <c r="H1251" s="1" t="s">
        <v>0</v>
      </c>
      <c r="I1251" s="2"/>
      <c r="J1251" s="2"/>
      <c r="K1251" s="1" t="s">
        <v>15</v>
      </c>
    </row>
    <row r="1252" ht="15.75" customHeight="1">
      <c r="A1252" s="1">
        <v>1251.0</v>
      </c>
      <c r="B1252" s="1">
        <v>29.0</v>
      </c>
      <c r="C1252" s="4" t="s">
        <v>54</v>
      </c>
      <c r="D1252" s="38" t="str">
        <f>IFERROR(__xludf.DUMMYFUNCTION("LET(
  words, TRANSPOSE(SPLIT($C1252,""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)"),"pwedeng dagdagan , like for")</f>
        <v>pwedeng dagdagan , like for</v>
      </c>
      <c r="E1252" s="39" t="str">
        <f>IFERROR(__xludf.DUMMYFUNCTION("INDEX(SPLIT($C1252,"" ""), ROW()-ROW($E$1227)+1)
"),",")</f>
        <v>,</v>
      </c>
      <c r="F1252" s="30" t="s">
        <v>17</v>
      </c>
      <c r="G1252" s="2"/>
      <c r="H1252" s="1" t="s">
        <v>0</v>
      </c>
      <c r="I1252" s="2"/>
      <c r="J1252" s="2"/>
      <c r="K1252" s="1" t="s">
        <v>15</v>
      </c>
    </row>
    <row r="1253" ht="15.75" customHeight="1">
      <c r="A1253" s="1">
        <v>1252.0</v>
      </c>
      <c r="B1253" s="1">
        <v>29.0</v>
      </c>
      <c r="C1253" s="4" t="s">
        <v>54</v>
      </c>
      <c r="D1253" s="38" t="str">
        <f>IFERROR(__xludf.DUMMYFUNCTION("LET(
  words, TRANSPOSE(SPLIT($C1253,""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)"),"dagdagan , like for example")</f>
        <v>dagdagan , like for example</v>
      </c>
      <c r="E1253" s="39" t="str">
        <f>IFERROR(__xludf.DUMMYFUNCTION("INDEX(SPLIT($C1253,"" ""), ROW()-ROW($E$1227)+1)
"),"like")</f>
        <v>like</v>
      </c>
      <c r="F1253" s="30" t="s">
        <v>18</v>
      </c>
      <c r="G1253" s="2"/>
      <c r="H1253" s="1" t="s">
        <v>0</v>
      </c>
      <c r="I1253" s="2"/>
      <c r="J1253" s="2"/>
      <c r="K1253" s="1" t="s">
        <v>15</v>
      </c>
    </row>
    <row r="1254" ht="15.75" customHeight="1">
      <c r="A1254" s="1">
        <v>1253.0</v>
      </c>
      <c r="B1254" s="1">
        <v>29.0</v>
      </c>
      <c r="C1254" s="4" t="s">
        <v>54</v>
      </c>
      <c r="D1254" s="38" t="str">
        <f>IFERROR(__xludf.DUMMYFUNCTION("LET(
  words, TRANSPOSE(SPLIT($C1254,""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)"),", like for example dun")</f>
        <v>, like for example dun</v>
      </c>
      <c r="E1254" s="39" t="str">
        <f>IFERROR(__xludf.DUMMYFUNCTION("INDEX(SPLIT($C1254,"" ""), ROW()-ROW($E$1227)+1)
"),"for")</f>
        <v>for</v>
      </c>
      <c r="F1254" s="30" t="s">
        <v>18</v>
      </c>
      <c r="G1254" s="2"/>
      <c r="H1254" s="1" t="s">
        <v>0</v>
      </c>
      <c r="I1254" s="2"/>
      <c r="J1254" s="2"/>
      <c r="K1254" s="1" t="s">
        <v>15</v>
      </c>
    </row>
    <row r="1255" ht="15.75" customHeight="1">
      <c r="A1255" s="1">
        <v>1254.0</v>
      </c>
      <c r="B1255" s="1">
        <v>29.0</v>
      </c>
      <c r="C1255" s="4" t="s">
        <v>54</v>
      </c>
      <c r="D1255" s="38" t="str">
        <f>IFERROR(__xludf.DUMMYFUNCTION("LET(
  words, TRANSPOSE(SPLIT($C1255,""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)"),"like for example dun sa")</f>
        <v>like for example dun sa</v>
      </c>
      <c r="E1255" s="39" t="str">
        <f>IFERROR(__xludf.DUMMYFUNCTION("INDEX(SPLIT($C1255,"" ""), ROW()-ROW($E$1227)+1)
"),"example")</f>
        <v>example</v>
      </c>
      <c r="F1255" s="30" t="s">
        <v>18</v>
      </c>
      <c r="G1255" s="2"/>
      <c r="H1255" s="1" t="s">
        <v>0</v>
      </c>
      <c r="I1255" s="2"/>
      <c r="J1255" s="2"/>
      <c r="K1255" s="1" t="s">
        <v>15</v>
      </c>
    </row>
    <row r="1256" ht="15.75" customHeight="1">
      <c r="A1256" s="1">
        <v>1255.0</v>
      </c>
      <c r="B1256" s="1">
        <v>29.0</v>
      </c>
      <c r="C1256" s="4" t="s">
        <v>54</v>
      </c>
      <c r="D1256" s="38" t="str">
        <f>IFERROR(__xludf.DUMMYFUNCTION("LET(
  words, TRANSPOSE(SPLIT($C1256,""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)"),"for example dun sa interview")</f>
        <v>for example dun sa interview</v>
      </c>
      <c r="E1256" s="39" t="str">
        <f>IFERROR(__xludf.DUMMYFUNCTION("INDEX(SPLIT($C1256,"" ""), ROW()-ROW($E$1227)+1)
"),"dun")</f>
        <v>dun</v>
      </c>
      <c r="F1256" s="30" t="s">
        <v>16</v>
      </c>
      <c r="G1256" s="2"/>
      <c r="H1256" s="1" t="s">
        <v>0</v>
      </c>
      <c r="I1256" s="2"/>
      <c r="J1256" s="2"/>
      <c r="K1256" s="1" t="s">
        <v>15</v>
      </c>
    </row>
    <row r="1257" ht="15.75" customHeight="1">
      <c r="A1257" s="1">
        <v>1256.0</v>
      </c>
      <c r="B1257" s="1">
        <v>29.0</v>
      </c>
      <c r="C1257" s="4" t="s">
        <v>54</v>
      </c>
      <c r="D1257" s="38" t="str">
        <f>IFERROR(__xludf.DUMMYFUNCTION("LET(
  words, TRANSPOSE(SPLIT($C1257,""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)"),"example dun sa interview kahit")</f>
        <v>example dun sa interview kahit</v>
      </c>
      <c r="E1257" s="39" t="str">
        <f>IFERROR(__xludf.DUMMYFUNCTION("INDEX(SPLIT($C1257,"" ""), ROW()-ROW($E$1227)+1)
"),"sa")</f>
        <v>sa</v>
      </c>
      <c r="F1257" s="30" t="s">
        <v>16</v>
      </c>
      <c r="G1257" s="2"/>
      <c r="H1257" s="1" t="s">
        <v>0</v>
      </c>
      <c r="I1257" s="2"/>
      <c r="J1257" s="2"/>
      <c r="K1257" s="1" t="s">
        <v>15</v>
      </c>
    </row>
    <row r="1258" ht="15.75" customHeight="1">
      <c r="A1258" s="1">
        <v>1257.0</v>
      </c>
      <c r="B1258" s="1">
        <v>29.0</v>
      </c>
      <c r="C1258" s="4" t="s">
        <v>54</v>
      </c>
      <c r="D1258" s="38" t="str">
        <f>IFERROR(__xludf.DUMMYFUNCTION("LET(
  words, TRANSPOSE(SPLIT($C1258,""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)"),"dun sa interview kahit calm")</f>
        <v>dun sa interview kahit calm</v>
      </c>
      <c r="E1258" s="39" t="str">
        <f>IFERROR(__xludf.DUMMYFUNCTION("INDEX(SPLIT($C1258,"" ""), ROW()-ROW($E$1227)+1)
"),"interview")</f>
        <v>interview</v>
      </c>
      <c r="F1258" s="30" t="s">
        <v>18</v>
      </c>
      <c r="G1258" s="2"/>
      <c r="H1258" s="1" t="s">
        <v>0</v>
      </c>
      <c r="I1258" s="2"/>
      <c r="J1258" s="2"/>
      <c r="K1258" s="1" t="s">
        <v>15</v>
      </c>
    </row>
    <row r="1259" ht="15.75" customHeight="1">
      <c r="A1259" s="1">
        <v>1258.0</v>
      </c>
      <c r="B1259" s="1">
        <v>29.0</v>
      </c>
      <c r="C1259" s="4" t="s">
        <v>54</v>
      </c>
      <c r="D1259" s="38" t="str">
        <f>IFERROR(__xludf.DUMMYFUNCTION("LET(
  words, TRANSPOSE(SPLIT($C1259,""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)"),"sa interview kahit calm music")</f>
        <v>sa interview kahit calm music</v>
      </c>
      <c r="E1259" s="39" t="str">
        <f>IFERROR(__xludf.DUMMYFUNCTION("INDEX(SPLIT($C1259,"" ""), ROW()-ROW($E$1227)+1)
"),"kahit")</f>
        <v>kahit</v>
      </c>
      <c r="F1259" s="30" t="s">
        <v>16</v>
      </c>
      <c r="G1259" s="2"/>
      <c r="H1259" s="1" t="s">
        <v>0</v>
      </c>
      <c r="I1259" s="2"/>
      <c r="J1259" s="2"/>
      <c r="K1259" s="1" t="s">
        <v>15</v>
      </c>
    </row>
    <row r="1260" ht="15.75" customHeight="1">
      <c r="A1260" s="1">
        <v>1259.0</v>
      </c>
      <c r="B1260" s="1">
        <v>29.0</v>
      </c>
      <c r="C1260" s="4" t="s">
        <v>54</v>
      </c>
      <c r="D1260" s="38" t="str">
        <f>IFERROR(__xludf.DUMMYFUNCTION("LET(
  words, TRANSPOSE(SPLIT($C1260,""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)"),"interview kahit calm music (")</f>
        <v>interview kahit calm music (</v>
      </c>
      <c r="E1260" s="39" t="str">
        <f>IFERROR(__xludf.DUMMYFUNCTION("INDEX(SPLIT($C1260,"" ""), ROW()-ROW($E$1227)+1)
"),"calm")</f>
        <v>calm</v>
      </c>
      <c r="F1260" s="30" t="s">
        <v>18</v>
      </c>
      <c r="G1260" s="2"/>
      <c r="H1260" s="1" t="s">
        <v>0</v>
      </c>
      <c r="I1260" s="2"/>
      <c r="J1260" s="2"/>
      <c r="K1260" s="1" t="s">
        <v>15</v>
      </c>
    </row>
    <row r="1261" ht="15.75" customHeight="1">
      <c r="A1261" s="1">
        <v>1260.0</v>
      </c>
      <c r="B1261" s="1">
        <v>29.0</v>
      </c>
      <c r="C1261" s="4" t="s">
        <v>54</v>
      </c>
      <c r="D1261" s="38" t="str">
        <f>IFERROR(__xludf.DUMMYFUNCTION("LET(
  words, TRANSPOSE(SPLIT($C1261,""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)"),"kahit calm music ( lofi")</f>
        <v>kahit calm music ( lofi</v>
      </c>
      <c r="E1261" s="39" t="str">
        <f>IFERROR(__xludf.DUMMYFUNCTION("INDEX(SPLIT($C1261,"" ""), ROW()-ROW($E$1227)+1)
"),"music")</f>
        <v>music</v>
      </c>
      <c r="F1261" s="30" t="s">
        <v>18</v>
      </c>
      <c r="G1261" s="2"/>
      <c r="H1261" s="1" t="s">
        <v>0</v>
      </c>
      <c r="I1261" s="2"/>
      <c r="J1261" s="2"/>
      <c r="K1261" s="1" t="s">
        <v>15</v>
      </c>
    </row>
    <row r="1262" ht="15.75" customHeight="1">
      <c r="A1262" s="1">
        <v>1261.0</v>
      </c>
      <c r="B1262" s="1">
        <v>29.0</v>
      </c>
      <c r="C1262" s="4" t="s">
        <v>54</v>
      </c>
      <c r="D1262" s="38" t="str">
        <f>IFERROR(__xludf.DUMMYFUNCTION("LET(
  words, TRANSPOSE(SPLIT($C1262,""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)"),"calm music ( lofi ?")</f>
        <v>calm music ( lofi ?</v>
      </c>
      <c r="E1262" s="39" t="str">
        <f>IFERROR(__xludf.DUMMYFUNCTION("INDEX(SPLIT($C1262,"" ""), ROW()-ROW($E$1227)+1)
"),"(")</f>
        <v>(</v>
      </c>
      <c r="F1262" s="30" t="s">
        <v>17</v>
      </c>
      <c r="G1262" s="2"/>
      <c r="H1262" s="1" t="s">
        <v>0</v>
      </c>
      <c r="I1262" s="2"/>
      <c r="J1262" s="2"/>
      <c r="K1262" s="1" t="s">
        <v>15</v>
      </c>
    </row>
    <row r="1263" ht="15.75" customHeight="1">
      <c r="A1263" s="1">
        <v>1262.0</v>
      </c>
      <c r="B1263" s="1">
        <v>29.0</v>
      </c>
      <c r="C1263" s="4" t="s">
        <v>54</v>
      </c>
      <c r="D1263" s="38" t="str">
        <f>IFERROR(__xludf.DUMMYFUNCTION("LET(
  words, TRANSPOSE(SPLIT($C1263,""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)"),"music ( lofi ? )")</f>
        <v>music ( lofi ? )</v>
      </c>
      <c r="E1263" s="39" t="str">
        <f>IFERROR(__xludf.DUMMYFUNCTION("INDEX(SPLIT($C1263,"" ""), ROW()-ROW($E$1227)+1)
"),"lofi")</f>
        <v>lofi</v>
      </c>
      <c r="F1263" s="30" t="s">
        <v>13</v>
      </c>
      <c r="G1263" s="1" t="s">
        <v>28</v>
      </c>
      <c r="H1263" s="1" t="s">
        <v>0</v>
      </c>
      <c r="I1263" s="2"/>
      <c r="J1263" s="2"/>
      <c r="K1263" s="1" t="s">
        <v>15</v>
      </c>
    </row>
    <row r="1264" ht="15.75" customHeight="1">
      <c r="A1264" s="1">
        <v>1263.0</v>
      </c>
      <c r="B1264" s="1">
        <v>29.0</v>
      </c>
      <c r="C1264" s="4" t="s">
        <v>54</v>
      </c>
      <c r="D1264" s="38" t="str">
        <f>IFERROR(__xludf.DUMMYFUNCTION("LET(
  words, TRANSPOSE(SPLIT($C1264,""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)"),"( lofi ? ) ,")</f>
        <v>( lofi ? ) ,</v>
      </c>
      <c r="E1264" s="39" t="str">
        <f>IFERROR(__xludf.DUMMYFUNCTION("INDEX(SPLIT($C1264,"" ""), ROW()-ROW($E$1227)+1)
"),"?")</f>
        <v>?</v>
      </c>
      <c r="F1264" s="30" t="s">
        <v>17</v>
      </c>
      <c r="G1264" s="2"/>
      <c r="H1264" s="1" t="s">
        <v>0</v>
      </c>
      <c r="I1264" s="2"/>
      <c r="J1264" s="2"/>
      <c r="K1264" s="1" t="s">
        <v>15</v>
      </c>
    </row>
    <row r="1265" ht="15.75" customHeight="1">
      <c r="A1265" s="1">
        <v>1264.0</v>
      </c>
      <c r="B1265" s="1">
        <v>29.0</v>
      </c>
      <c r="C1265" s="4" t="s">
        <v>54</v>
      </c>
      <c r="D1265" s="38" t="str">
        <f>IFERROR(__xludf.DUMMYFUNCTION("LET(
  words, TRANSPOSE(SPLIT($C1265,""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)"),"lofi ? ) , then")</f>
        <v>lofi ? ) , then</v>
      </c>
      <c r="E1265" s="39" t="str">
        <f>IFERROR(__xludf.DUMMYFUNCTION("INDEX(SPLIT($C1265,"" ""), ROW()-ROW($E$1227)+1)
"),")")</f>
        <v>)</v>
      </c>
      <c r="F1265" s="30" t="s">
        <v>17</v>
      </c>
      <c r="G1265" s="2"/>
      <c r="H1265" s="1" t="s">
        <v>0</v>
      </c>
      <c r="I1265" s="2"/>
      <c r="J1265" s="2"/>
      <c r="K1265" s="1" t="s">
        <v>15</v>
      </c>
    </row>
    <row r="1266" ht="15.75" customHeight="1">
      <c r="A1266" s="1">
        <v>1265.0</v>
      </c>
      <c r="B1266" s="1">
        <v>29.0</v>
      </c>
      <c r="C1266" s="4" t="s">
        <v>54</v>
      </c>
      <c r="D1266" s="38" t="str">
        <f>IFERROR(__xludf.DUMMYFUNCTION("LET(
  words, TRANSPOSE(SPLIT($C1266,""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)"),"? ) , then dun")</f>
        <v>? ) , then dun</v>
      </c>
      <c r="E1266" s="39" t="str">
        <f>IFERROR(__xludf.DUMMYFUNCTION("INDEX(SPLIT($C1266,"" ""), ROW()-ROW($E$1227)+1)
"),",")</f>
        <v>,</v>
      </c>
      <c r="F1266" s="30" t="s">
        <v>17</v>
      </c>
      <c r="G1266" s="2"/>
      <c r="H1266" s="1" t="s">
        <v>0</v>
      </c>
      <c r="I1266" s="2"/>
      <c r="J1266" s="2"/>
      <c r="K1266" s="1" t="s">
        <v>15</v>
      </c>
    </row>
    <row r="1267" ht="15.75" customHeight="1">
      <c r="A1267" s="1">
        <v>1266.0</v>
      </c>
      <c r="B1267" s="1">
        <v>29.0</v>
      </c>
      <c r="C1267" s="4" t="s">
        <v>54</v>
      </c>
      <c r="D1267" s="38" t="str">
        <f>IFERROR(__xludf.DUMMYFUNCTION("LET(
  words, TRANSPOSE(SPLIT($C1267,""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)"),") , then dun sa")</f>
        <v>) , then dun sa</v>
      </c>
      <c r="E1267" s="39" t="str">
        <f>IFERROR(__xludf.DUMMYFUNCTION("INDEX(SPLIT($C1267,"" ""), ROW()-ROW($E$1227)+1)
"),"then")</f>
        <v>then</v>
      </c>
      <c r="F1267" s="30" t="s">
        <v>18</v>
      </c>
      <c r="G1267" s="2"/>
      <c r="H1267" s="1" t="s">
        <v>0</v>
      </c>
      <c r="I1267" s="2"/>
      <c r="J1267" s="2"/>
      <c r="K1267" s="1" t="s">
        <v>15</v>
      </c>
    </row>
    <row r="1268" ht="15.75" customHeight="1">
      <c r="A1268" s="1">
        <v>1267.0</v>
      </c>
      <c r="B1268" s="1">
        <v>29.0</v>
      </c>
      <c r="C1268" s="4" t="s">
        <v>54</v>
      </c>
      <c r="D1268" s="38" t="str">
        <f>IFERROR(__xludf.DUMMYFUNCTION("LET(
  words, TRANSPOSE(SPLIT($C1268,""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)"),", then dun sa convo")</f>
        <v>, then dun sa convo</v>
      </c>
      <c r="E1268" s="39" t="str">
        <f>IFERROR(__xludf.DUMMYFUNCTION("INDEX(SPLIT($C1268,"" ""), ROW()-ROW($E$1227)+1)
"),"dun")</f>
        <v>dun</v>
      </c>
      <c r="F1268" s="30" t="s">
        <v>16</v>
      </c>
      <c r="G1268" s="2"/>
      <c r="H1268" s="1" t="s">
        <v>0</v>
      </c>
      <c r="I1268" s="2"/>
      <c r="J1268" s="2"/>
      <c r="K1268" s="1" t="s">
        <v>15</v>
      </c>
    </row>
    <row r="1269" ht="15.75" customHeight="1">
      <c r="A1269" s="1">
        <v>1268.0</v>
      </c>
      <c r="B1269" s="1">
        <v>29.0</v>
      </c>
      <c r="C1269" s="4" t="s">
        <v>54</v>
      </c>
      <c r="D1269" s="38" t="str">
        <f>IFERROR(__xludf.DUMMYFUNCTION("LET(
  words, TRANSPOSE(SPLIT($C1269,""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)"),"then dun sa convo nila")</f>
        <v>then dun sa convo nila</v>
      </c>
      <c r="E1269" s="39" t="str">
        <f>IFERROR(__xludf.DUMMYFUNCTION("INDEX(SPLIT($C1269,"" ""), ROW()-ROW($E$1227)+1)
"),"sa")</f>
        <v>sa</v>
      </c>
      <c r="F1269" s="30" t="s">
        <v>16</v>
      </c>
      <c r="G1269" s="2"/>
      <c r="H1269" s="1" t="s">
        <v>0</v>
      </c>
      <c r="I1269" s="2"/>
      <c r="J1269" s="2"/>
      <c r="K1269" s="1" t="s">
        <v>15</v>
      </c>
    </row>
    <row r="1270" ht="15.75" customHeight="1">
      <c r="A1270" s="1">
        <v>1269.0</v>
      </c>
      <c r="B1270" s="1">
        <v>29.0</v>
      </c>
      <c r="C1270" s="4" t="s">
        <v>54</v>
      </c>
      <c r="D1270" s="38" t="str">
        <f>IFERROR(__xludf.DUMMYFUNCTION("LET(
  words, TRANSPOSE(SPLIT($C1270,""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)"),"dun sa convo nila Dom")</f>
        <v>dun sa convo nila Dom</v>
      </c>
      <c r="E1270" s="39" t="str">
        <f>IFERROR(__xludf.DUMMYFUNCTION("INDEX(SPLIT($C1270,"" ""), ROW()-ROW($E$1227)+1)
"),"convo")</f>
        <v>convo</v>
      </c>
      <c r="F1270" s="30" t="s">
        <v>18</v>
      </c>
      <c r="G1270" s="1" t="s">
        <v>19</v>
      </c>
      <c r="H1270" s="1" t="s">
        <v>0</v>
      </c>
      <c r="I1270" s="2"/>
      <c r="J1270" s="2"/>
      <c r="K1270" s="1" t="s">
        <v>15</v>
      </c>
    </row>
    <row r="1271" ht="15.75" customHeight="1">
      <c r="A1271" s="1">
        <v>1270.0</v>
      </c>
      <c r="B1271" s="1">
        <v>29.0</v>
      </c>
      <c r="C1271" s="4" t="s">
        <v>54</v>
      </c>
      <c r="D1271" s="38" t="str">
        <f>IFERROR(__xludf.DUMMYFUNCTION("LET(
  words, TRANSPOSE(SPLIT($C1271,""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)"),"sa convo nila Dom may")</f>
        <v>sa convo nila Dom may</v>
      </c>
      <c r="E1271" s="39" t="str">
        <f>IFERROR(__xludf.DUMMYFUNCTION("INDEX(SPLIT($C1271,"" ""), ROW()-ROW($E$1227)+1)
"),"nila")</f>
        <v>nila</v>
      </c>
      <c r="F1271" s="30" t="s">
        <v>16</v>
      </c>
      <c r="G1271" s="2"/>
      <c r="H1271" s="1" t="s">
        <v>0</v>
      </c>
      <c r="I1271" s="2"/>
      <c r="J1271" s="2"/>
      <c r="K1271" s="1" t="s">
        <v>15</v>
      </c>
    </row>
    <row r="1272" ht="15.75" customHeight="1">
      <c r="A1272" s="1">
        <v>1271.0</v>
      </c>
      <c r="B1272" s="1">
        <v>29.0</v>
      </c>
      <c r="C1272" s="4" t="s">
        <v>54</v>
      </c>
      <c r="D1272" s="38" t="str">
        <f>IFERROR(__xludf.DUMMYFUNCTION("LET(
  words, TRANSPOSE(SPLIT($C1272,""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)"),"convo nila Dom may quiet")</f>
        <v>convo nila Dom may quiet</v>
      </c>
      <c r="E1272" s="39" t="str">
        <f>IFERROR(__xludf.DUMMYFUNCTION("INDEX(SPLIT($C1272,"" ""), ROW()-ROW($E$1227)+1)
"),"Dom")</f>
        <v>Dom</v>
      </c>
      <c r="F1272" s="30" t="s">
        <v>13</v>
      </c>
      <c r="G1272" s="1" t="s">
        <v>28</v>
      </c>
      <c r="H1272" s="1" t="s">
        <v>0</v>
      </c>
      <c r="I1272" s="2"/>
      <c r="J1272" s="2"/>
      <c r="K1272" s="1" t="s">
        <v>15</v>
      </c>
    </row>
    <row r="1273" ht="15.75" customHeight="1">
      <c r="A1273" s="1">
        <v>1272.0</v>
      </c>
      <c r="B1273" s="1">
        <v>29.0</v>
      </c>
      <c r="C1273" s="4" t="s">
        <v>54</v>
      </c>
      <c r="D1273" s="38" t="str">
        <f>IFERROR(__xludf.DUMMYFUNCTION("LET(
  words, TRANSPOSE(SPLIT($C1273,""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)"),"nila Dom may quiet melancholic")</f>
        <v>nila Dom may quiet melancholic</v>
      </c>
      <c r="E1273" s="39" t="str">
        <f>IFERROR(__xludf.DUMMYFUNCTION("INDEX(SPLIT($C1273,"" ""), ROW()-ROW($E$1227)+1)
"),"may")</f>
        <v>may</v>
      </c>
      <c r="F1273" s="30" t="s">
        <v>16</v>
      </c>
      <c r="G1273" s="2"/>
      <c r="H1273" s="1" t="s">
        <v>0</v>
      </c>
      <c r="I1273" s="2"/>
      <c r="J1273" s="2"/>
      <c r="K1273" s="1" t="s">
        <v>15</v>
      </c>
    </row>
    <row r="1274" ht="15.75" customHeight="1">
      <c r="A1274" s="1">
        <v>1273.0</v>
      </c>
      <c r="B1274" s="1">
        <v>29.0</v>
      </c>
      <c r="C1274" s="4" t="s">
        <v>54</v>
      </c>
      <c r="D1274" s="38" t="str">
        <f>IFERROR(__xludf.DUMMYFUNCTION("LET(
  words, TRANSPOSE(SPLIT($C1274,""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)"),"Dom may quiet melancholic piano")</f>
        <v>Dom may quiet melancholic piano</v>
      </c>
      <c r="E1274" s="39" t="str">
        <f>IFERROR(__xludf.DUMMYFUNCTION("INDEX(SPLIT($C1274,"" ""), ROW()-ROW($E$1227)+1)
"),"quiet")</f>
        <v>quiet</v>
      </c>
      <c r="F1274" s="30" t="s">
        <v>18</v>
      </c>
      <c r="G1274" s="2"/>
      <c r="H1274" s="1" t="s">
        <v>0</v>
      </c>
      <c r="I1274" s="2"/>
      <c r="J1274" s="2"/>
      <c r="K1274" s="1" t="s">
        <v>15</v>
      </c>
    </row>
    <row r="1275" ht="15.75" customHeight="1">
      <c r="A1275" s="1">
        <v>1274.0</v>
      </c>
      <c r="B1275" s="1">
        <v>29.0</v>
      </c>
      <c r="C1275" s="4" t="s">
        <v>54</v>
      </c>
      <c r="D1275" s="38" t="str">
        <f>IFERROR(__xludf.DUMMYFUNCTION("LET(
  words, TRANSPOSE(SPLIT($C1275,""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)"),"may quiet melancholic piano music")</f>
        <v>may quiet melancholic piano music</v>
      </c>
      <c r="E1275" s="39" t="str">
        <f>IFERROR(__xludf.DUMMYFUNCTION("INDEX(SPLIT($C1275,"" ""), ROW()-ROW($E$1227)+1)
"),"melancholic")</f>
        <v>melancholic</v>
      </c>
      <c r="F1275" s="30" t="s">
        <v>18</v>
      </c>
      <c r="G1275" s="2"/>
      <c r="H1275" s="1" t="s">
        <v>0</v>
      </c>
      <c r="I1275" s="2"/>
      <c r="J1275" s="2"/>
      <c r="K1275" s="1" t="s">
        <v>15</v>
      </c>
    </row>
    <row r="1276" ht="15.75" customHeight="1">
      <c r="A1276" s="1">
        <v>1275.0</v>
      </c>
      <c r="B1276" s="1">
        <v>29.0</v>
      </c>
      <c r="C1276" s="4" t="s">
        <v>54</v>
      </c>
      <c r="D1276" s="38" t="str">
        <f>IFERROR(__xludf.DUMMYFUNCTION("LET(
  words, TRANSPOSE(SPLIT($C1276,""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)"),"quiet melancholic piano music tas")</f>
        <v>quiet melancholic piano music tas</v>
      </c>
      <c r="E1276" s="39" t="str">
        <f>IFERROR(__xludf.DUMMYFUNCTION("INDEX(SPLIT($C1276,"" ""), ROW()-ROW($E$1227)+1)
"),"piano")</f>
        <v>piano</v>
      </c>
      <c r="F1276" s="30" t="s">
        <v>18</v>
      </c>
      <c r="G1276" s="2"/>
      <c r="H1276" s="1" t="s">
        <v>0</v>
      </c>
      <c r="I1276" s="2"/>
      <c r="J1276" s="2"/>
      <c r="K1276" s="1" t="s">
        <v>15</v>
      </c>
    </row>
    <row r="1277" ht="15.75" customHeight="1">
      <c r="A1277" s="1">
        <v>1276.0</v>
      </c>
      <c r="B1277" s="1">
        <v>29.0</v>
      </c>
      <c r="C1277" s="4" t="s">
        <v>54</v>
      </c>
      <c r="D1277" s="38" t="str">
        <f>IFERROR(__xludf.DUMMYFUNCTION("LET(
  words, TRANSPOSE(SPLIT($C1277,""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)"),"melancholic piano music tas dun")</f>
        <v>melancholic piano music tas dun</v>
      </c>
      <c r="E1277" s="39" t="str">
        <f>IFERROR(__xludf.DUMMYFUNCTION("INDEX(SPLIT($C1277,"" ""), ROW()-ROW($E$1227)+1)
"),"music")</f>
        <v>music</v>
      </c>
      <c r="F1277" s="30" t="s">
        <v>18</v>
      </c>
      <c r="G1277" s="2"/>
      <c r="H1277" s="1" t="s">
        <v>0</v>
      </c>
      <c r="I1277" s="2"/>
      <c r="J1277" s="2"/>
      <c r="K1277" s="1" t="s">
        <v>15</v>
      </c>
    </row>
    <row r="1278" ht="15.75" customHeight="1">
      <c r="A1278" s="1">
        <v>1277.0</v>
      </c>
      <c r="B1278" s="1">
        <v>29.0</v>
      </c>
      <c r="C1278" s="4" t="s">
        <v>54</v>
      </c>
      <c r="D1278" s="38" t="str">
        <f>IFERROR(__xludf.DUMMYFUNCTION("LET(
  words, TRANSPOSE(SPLIT($C1278,""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)"),"piano music tas dun sa")</f>
        <v>piano music tas dun sa</v>
      </c>
      <c r="E1278" s="39" t="str">
        <f>IFERROR(__xludf.DUMMYFUNCTION("INDEX(SPLIT($C1278,"" ""), ROW()-ROW($E$1227)+1)
"),"tas")</f>
        <v>tas</v>
      </c>
      <c r="F1278" s="30" t="s">
        <v>16</v>
      </c>
      <c r="G1278" s="1" t="s">
        <v>19</v>
      </c>
      <c r="H1278" s="1" t="s">
        <v>0</v>
      </c>
      <c r="I1278" s="2"/>
      <c r="J1278" s="2"/>
      <c r="K1278" s="1" t="s">
        <v>15</v>
      </c>
    </row>
    <row r="1279" ht="15.75" customHeight="1">
      <c r="A1279" s="1">
        <v>1278.0</v>
      </c>
      <c r="B1279" s="1">
        <v>29.0</v>
      </c>
      <c r="C1279" s="4" t="s">
        <v>54</v>
      </c>
      <c r="D1279" s="38" t="str">
        <f>IFERROR(__xludf.DUMMYFUNCTION("LET(
  words, TRANSPOSE(SPLIT($C1279,""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)"),"music tas dun sa call")</f>
        <v>music tas dun sa call</v>
      </c>
      <c r="E1279" s="39" t="str">
        <f>IFERROR(__xludf.DUMMYFUNCTION("INDEX(SPLIT($C1279,"" ""), ROW()-ROW($E$1227)+1)
"),"dun")</f>
        <v>dun</v>
      </c>
      <c r="F1279" s="30" t="s">
        <v>16</v>
      </c>
      <c r="G1279" s="1" t="s">
        <v>19</v>
      </c>
      <c r="H1279" s="1" t="s">
        <v>0</v>
      </c>
      <c r="I1279" s="2"/>
      <c r="J1279" s="2"/>
      <c r="K1279" s="1" t="s">
        <v>15</v>
      </c>
    </row>
    <row r="1280" ht="15.75" customHeight="1">
      <c r="A1280" s="1">
        <v>1279.0</v>
      </c>
      <c r="B1280" s="1">
        <v>29.0</v>
      </c>
      <c r="C1280" s="4" t="s">
        <v>54</v>
      </c>
      <c r="D1280" s="38" t="str">
        <f>IFERROR(__xludf.DUMMYFUNCTION("LET(
  words, TRANSPOSE(SPLIT($C1280,""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)"),"tas dun sa call for")</f>
        <v>tas dun sa call for</v>
      </c>
      <c r="E1280" s="39" t="str">
        <f>IFERROR(__xludf.DUMMYFUNCTION("INDEX(SPLIT($C1280,"" ""), ROW()-ROW($E$1227)+1)
"),"sa")</f>
        <v>sa</v>
      </c>
      <c r="F1280" s="30" t="s">
        <v>16</v>
      </c>
      <c r="G1280" s="2"/>
      <c r="H1280" s="1" t="s">
        <v>0</v>
      </c>
      <c r="I1280" s="2"/>
      <c r="J1280" s="2"/>
      <c r="K1280" s="1" t="s">
        <v>15</v>
      </c>
    </row>
    <row r="1281" ht="15.75" customHeight="1">
      <c r="A1281" s="1">
        <v>1280.0</v>
      </c>
      <c r="B1281" s="1">
        <v>29.0</v>
      </c>
      <c r="C1281" s="4" t="s">
        <v>54</v>
      </c>
      <c r="D1281" s="38" t="str">
        <f>IFERROR(__xludf.DUMMYFUNCTION("LET(
  words, TRANSPOSE(SPLIT($C1281,""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)"),"dun sa call for action")</f>
        <v>dun sa call for action</v>
      </c>
      <c r="E1281" s="39" t="str">
        <f>IFERROR(__xludf.DUMMYFUNCTION("INDEX(SPLIT($C1281,"" ""), ROW()-ROW($E$1227)+1)
"),"call")</f>
        <v>call</v>
      </c>
      <c r="F1281" s="30" t="s">
        <v>18</v>
      </c>
      <c r="G1281" s="2"/>
      <c r="H1281" s="1" t="s">
        <v>0</v>
      </c>
      <c r="I1281" s="2"/>
      <c r="J1281" s="2"/>
      <c r="K1281" s="1" t="s">
        <v>15</v>
      </c>
    </row>
    <row r="1282" ht="15.75" customHeight="1">
      <c r="A1282" s="1">
        <v>1281.0</v>
      </c>
      <c r="B1282" s="1">
        <v>29.0</v>
      </c>
      <c r="C1282" s="4" t="s">
        <v>54</v>
      </c>
      <c r="D1282" s="38" t="str">
        <f>IFERROR(__xludf.DUMMYFUNCTION("LET(
  words, TRANSPOSE(SPLIT($C1282,""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)"),"sa call for action pwedeng")</f>
        <v>sa call for action pwedeng</v>
      </c>
      <c r="E1282" s="39" t="str">
        <f>IFERROR(__xludf.DUMMYFUNCTION("INDEX(SPLIT($C1282,"" ""), ROW()-ROW($E$1227)+1)
"),"for")</f>
        <v>for</v>
      </c>
      <c r="F1282" s="30" t="s">
        <v>18</v>
      </c>
      <c r="G1282" s="2"/>
      <c r="H1282" s="1" t="s">
        <v>0</v>
      </c>
      <c r="I1282" s="2"/>
      <c r="J1282" s="2"/>
      <c r="K1282" s="1" t="s">
        <v>15</v>
      </c>
    </row>
    <row r="1283" ht="15.75" customHeight="1">
      <c r="A1283" s="1">
        <v>1282.0</v>
      </c>
      <c r="B1283" s="1">
        <v>29.0</v>
      </c>
      <c r="C1283" s="4" t="s">
        <v>54</v>
      </c>
      <c r="D1283" s="38" t="str">
        <f>IFERROR(__xludf.DUMMYFUNCTION("LET(
  words, TRANSPOSE(SPLIT($C1283,""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)"),"call for action pwedeng ituloy")</f>
        <v>call for action pwedeng ituloy</v>
      </c>
      <c r="E1283" s="39" t="str">
        <f>IFERROR(__xludf.DUMMYFUNCTION("INDEX(SPLIT($C1283,"" ""), ROW()-ROW($E$1227)+1)
"),"action")</f>
        <v>action</v>
      </c>
      <c r="F1283" s="30" t="s">
        <v>18</v>
      </c>
      <c r="G1283" s="2"/>
      <c r="H1283" s="1" t="s">
        <v>0</v>
      </c>
      <c r="I1283" s="2"/>
      <c r="J1283" s="2"/>
      <c r="K1283" s="1" t="s">
        <v>15</v>
      </c>
    </row>
    <row r="1284" ht="15.75" customHeight="1">
      <c r="A1284" s="1">
        <v>1283.0</v>
      </c>
      <c r="B1284" s="1">
        <v>29.0</v>
      </c>
      <c r="C1284" s="4" t="s">
        <v>54</v>
      </c>
      <c r="D1284" s="38" t="str">
        <f>IFERROR(__xludf.DUMMYFUNCTION("LET(
  words, TRANSPOSE(SPLIT($C1284,""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)"),"for action pwedeng ituloy ung")</f>
        <v>for action pwedeng ituloy ung</v>
      </c>
      <c r="E1284" s="39" t="str">
        <f>IFERROR(__xludf.DUMMYFUNCTION("INDEX(SPLIT($C1284,"" ""), ROW()-ROW($E$1227)+1)
"),"pwedeng")</f>
        <v>pwedeng</v>
      </c>
      <c r="F1284" s="30" t="s">
        <v>16</v>
      </c>
      <c r="G1284" s="2"/>
      <c r="H1284" s="1" t="s">
        <v>0</v>
      </c>
      <c r="I1284" s="2"/>
      <c r="J1284" s="2"/>
      <c r="K1284" s="1" t="s">
        <v>15</v>
      </c>
    </row>
    <row r="1285" ht="15.75" customHeight="1">
      <c r="A1285" s="1">
        <v>1284.0</v>
      </c>
      <c r="B1285" s="1">
        <v>29.0</v>
      </c>
      <c r="C1285" s="4" t="s">
        <v>54</v>
      </c>
      <c r="D1285" s="38" t="str">
        <f>IFERROR(__xludf.DUMMYFUNCTION("LET(
  words, TRANSPOSE(SPLIT($C1285,""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)"),"action pwedeng ituloy ung bgm")</f>
        <v>action pwedeng ituloy ung bgm</v>
      </c>
      <c r="E1285" s="39" t="str">
        <f>IFERROR(__xludf.DUMMYFUNCTION("INDEX(SPLIT($C1285,"" ""), ROW()-ROW($E$1227)+1)
"),"ituloy")</f>
        <v>ituloy</v>
      </c>
      <c r="F1285" s="30" t="s">
        <v>16</v>
      </c>
      <c r="G1285" s="2"/>
      <c r="H1285" s="1" t="s">
        <v>0</v>
      </c>
      <c r="I1285" s="2"/>
      <c r="J1285" s="2"/>
      <c r="K1285" s="1" t="s">
        <v>15</v>
      </c>
    </row>
    <row r="1286" ht="15.75" customHeight="1">
      <c r="A1286" s="1">
        <v>1285.0</v>
      </c>
      <c r="B1286" s="1">
        <v>29.0</v>
      </c>
      <c r="C1286" s="4" t="s">
        <v>54</v>
      </c>
      <c r="D1286" s="38" t="str">
        <f>IFERROR(__xludf.DUMMYFUNCTION("LET(
  words, TRANSPOSE(SPLIT($C1286,""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)"),"pwedeng ituloy ung bgm before")</f>
        <v>pwedeng ituloy ung bgm before</v>
      </c>
      <c r="E1286" s="39" t="str">
        <f>IFERROR(__xludf.DUMMYFUNCTION("INDEX(SPLIT($C1286,"" ""), ROW()-ROW($E$1227)+1)
"),"ung")</f>
        <v>ung</v>
      </c>
      <c r="F1286" s="30" t="s">
        <v>16</v>
      </c>
      <c r="G1286" s="1" t="s">
        <v>19</v>
      </c>
      <c r="H1286" s="1" t="s">
        <v>0</v>
      </c>
      <c r="I1286" s="2"/>
      <c r="J1286" s="2"/>
      <c r="K1286" s="1" t="s">
        <v>15</v>
      </c>
    </row>
    <row r="1287" ht="15.75" customHeight="1">
      <c r="A1287" s="1">
        <v>1286.0</v>
      </c>
      <c r="B1287" s="1">
        <v>29.0</v>
      </c>
      <c r="C1287" s="4" t="s">
        <v>54</v>
      </c>
      <c r="D1287" s="38" t="str">
        <f>IFERROR(__xludf.DUMMYFUNCTION("LET(
  words, TRANSPOSE(SPLIT($C1287,""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)"),"ituloy ung bgm before that")</f>
        <v>ituloy ung bgm before that</v>
      </c>
      <c r="E1287" s="39" t="str">
        <f>IFERROR(__xludf.DUMMYFUNCTION("INDEX(SPLIT($C1287,"" ""), ROW()-ROW($E$1227)+1)
"),"bgm")</f>
        <v>bgm</v>
      </c>
      <c r="F1287" s="30" t="s">
        <v>18</v>
      </c>
      <c r="G1287" s="1" t="s">
        <v>31</v>
      </c>
      <c r="H1287" s="1" t="s">
        <v>0</v>
      </c>
      <c r="I1287" s="2"/>
      <c r="J1287" s="2"/>
      <c r="K1287" s="1" t="s">
        <v>15</v>
      </c>
    </row>
    <row r="1288" ht="15.75" customHeight="1">
      <c r="A1288" s="1">
        <v>1287.0</v>
      </c>
      <c r="B1288" s="1">
        <v>29.0</v>
      </c>
      <c r="C1288" s="4" t="s">
        <v>54</v>
      </c>
      <c r="D1288" s="38" t="str">
        <f>IFERROR(__xludf.DUMMYFUNCTION("LET(
  words, TRANSPOSE(SPLIT($C1288,""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)"),"ung bgm before that then")</f>
        <v>ung bgm before that then</v>
      </c>
      <c r="E1288" s="39" t="str">
        <f>IFERROR(__xludf.DUMMYFUNCTION("INDEX(SPLIT($C1288,"" ""), ROW()-ROW($E$1227)+1)
"),"before")</f>
        <v>before</v>
      </c>
      <c r="F1288" s="30" t="s">
        <v>18</v>
      </c>
      <c r="G1288" s="2"/>
      <c r="H1288" s="1" t="s">
        <v>0</v>
      </c>
      <c r="I1288" s="2"/>
      <c r="J1288" s="2"/>
      <c r="K1288" s="1" t="s">
        <v>15</v>
      </c>
    </row>
    <row r="1289" ht="15.75" customHeight="1">
      <c r="A1289" s="1">
        <v>1288.0</v>
      </c>
      <c r="B1289" s="1">
        <v>29.0</v>
      </c>
      <c r="C1289" s="4" t="s">
        <v>54</v>
      </c>
      <c r="D1289" s="38" t="str">
        <f>IFERROR(__xludf.DUMMYFUNCTION("LET(
  words, TRANSPOSE(SPLIT($C1289,""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)"),"bgm before that then hinaan")</f>
        <v>bgm before that then hinaan</v>
      </c>
      <c r="E1289" s="39" t="str">
        <f>IFERROR(__xludf.DUMMYFUNCTION("INDEX(SPLIT($C1289,"" ""), ROW()-ROW($E$1227)+1)
"),"that")</f>
        <v>that</v>
      </c>
      <c r="F1289" s="30" t="s">
        <v>18</v>
      </c>
      <c r="G1289" s="2"/>
      <c r="H1289" s="1" t="s">
        <v>0</v>
      </c>
      <c r="I1289" s="2"/>
      <c r="J1289" s="2"/>
      <c r="K1289" s="1" t="s">
        <v>15</v>
      </c>
    </row>
    <row r="1290" ht="15.75" customHeight="1">
      <c r="A1290" s="1">
        <v>1289.0</v>
      </c>
      <c r="B1290" s="1">
        <v>29.0</v>
      </c>
      <c r="C1290" s="4" t="s">
        <v>54</v>
      </c>
      <c r="D1290" s="38" t="str">
        <f>IFERROR(__xludf.DUMMYFUNCTION("LET(
  words, TRANSPOSE(SPLIT($C1290,""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)"),"before that then hinaan nlng")</f>
        <v>before that then hinaan nlng</v>
      </c>
      <c r="E1290" s="39" t="str">
        <f>IFERROR(__xludf.DUMMYFUNCTION("INDEX(SPLIT($C1290,"" ""), ROW()-ROW($E$1227)+1)
"),"then")</f>
        <v>then</v>
      </c>
      <c r="F1290" s="30" t="s">
        <v>18</v>
      </c>
      <c r="G1290" s="2"/>
      <c r="H1290" s="1" t="s">
        <v>0</v>
      </c>
      <c r="I1290" s="2"/>
      <c r="J1290" s="2"/>
      <c r="K1290" s="1" t="s">
        <v>15</v>
      </c>
    </row>
    <row r="1291" ht="15.75" customHeight="1">
      <c r="A1291" s="1">
        <v>1290.0</v>
      </c>
      <c r="B1291" s="1">
        <v>29.0</v>
      </c>
      <c r="C1291" s="4" t="s">
        <v>54</v>
      </c>
      <c r="D1291" s="38" t="str">
        <f>IFERROR(__xludf.DUMMYFUNCTION("LET(
  words, TRANSPOSE(SPLIT($C1291,""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)"),"that then hinaan nlng")</f>
        <v>that then hinaan nlng</v>
      </c>
      <c r="E1291" s="39" t="str">
        <f>IFERROR(__xludf.DUMMYFUNCTION("INDEX(SPLIT($C1291,"" ""), ROW()-ROW($E$1227)+1)
"),"hinaan")</f>
        <v>hinaan</v>
      </c>
      <c r="F1291" s="30" t="s">
        <v>16</v>
      </c>
      <c r="G1291" s="2"/>
      <c r="H1291" s="1" t="s">
        <v>0</v>
      </c>
      <c r="I1291" s="2"/>
      <c r="J1291" s="2"/>
      <c r="K1291" s="1" t="s">
        <v>15</v>
      </c>
    </row>
    <row r="1292" ht="15.75" customHeight="1">
      <c r="A1292" s="10">
        <v>1291.0</v>
      </c>
      <c r="B1292" s="10">
        <v>29.0</v>
      </c>
      <c r="C1292" s="7" t="s">
        <v>54</v>
      </c>
      <c r="D1292" s="40" t="str">
        <f>IFERROR(__xludf.DUMMYFUNCTION("LET(
  words, TRANSPOSE(SPLIT($C1292,"" "")),
  n, ROWS(words),
  i, ROW() - ROW($D$1227)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)"),"then hinaan nlng")</f>
        <v>then hinaan nlng</v>
      </c>
      <c r="E1292" s="41" t="str">
        <f>IFERROR(__xludf.DUMMYFUNCTION("INDEX(SPLIT($C1292,"" ""), ROW()-ROW($E$1227)+1)
"),"nlng")</f>
        <v>nlng</v>
      </c>
      <c r="F1292" s="32" t="s">
        <v>16</v>
      </c>
      <c r="G1292" s="10" t="s">
        <v>19</v>
      </c>
      <c r="H1292" s="10" t="s">
        <v>0</v>
      </c>
      <c r="I1292" s="6"/>
      <c r="J1292" s="6"/>
      <c r="K1292" s="10" t="s">
        <v>15</v>
      </c>
      <c r="L1292" s="6"/>
    </row>
    <row r="1293" ht="15.75" customHeight="1">
      <c r="A1293" s="1">
        <v>1292.0</v>
      </c>
      <c r="B1293" s="1">
        <v>30.0</v>
      </c>
      <c r="C1293" s="4" t="s">
        <v>55</v>
      </c>
      <c r="D1293" s="38" t="str">
        <f>IFERROR(__xludf.DUMMYFUNCTION("LET(
  words, TRANSPOSE(SPLIT($C1293,""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)"),"yo Ben gusto")</f>
        <v>yo Ben gusto</v>
      </c>
      <c r="E1293" s="39" t="str">
        <f>IFERROR(__xludf.DUMMYFUNCTION("INDEX(SPLIT($C1293,"" ""), ROW()-ROW($E$1293)+1)
"),"yo")</f>
        <v>yo</v>
      </c>
      <c r="F1293" s="30" t="s">
        <v>18</v>
      </c>
      <c r="G1293" s="2"/>
      <c r="H1293" s="1" t="s">
        <v>0</v>
      </c>
      <c r="I1293" s="2"/>
      <c r="J1293" s="2"/>
      <c r="K1293" s="1" t="s">
        <v>15</v>
      </c>
    </row>
    <row r="1294" ht="15.75" customHeight="1">
      <c r="A1294" s="1">
        <v>1293.0</v>
      </c>
      <c r="B1294" s="1">
        <v>30.0</v>
      </c>
      <c r="C1294" s="4" t="s">
        <v>55</v>
      </c>
      <c r="D1294" s="38" t="str">
        <f>IFERROR(__xludf.DUMMYFUNCTION("LET(
  words, TRANSPOSE(SPLIT($C1294,""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)"),"yo Ben gusto mo")</f>
        <v>yo Ben gusto mo</v>
      </c>
      <c r="E1294" s="39" t="str">
        <f>IFERROR(__xludf.DUMMYFUNCTION("INDEX(SPLIT($C1294,"" ""), ROW()-ROW($E$1293)+1)
"),"Ben")</f>
        <v>Ben</v>
      </c>
      <c r="F1294" s="30" t="s">
        <v>13</v>
      </c>
      <c r="G1294" s="1" t="s">
        <v>28</v>
      </c>
      <c r="H1294" s="1" t="s">
        <v>0</v>
      </c>
      <c r="I1294" s="2"/>
      <c r="J1294" s="2"/>
      <c r="K1294" s="1" t="s">
        <v>15</v>
      </c>
    </row>
    <row r="1295" ht="15.75" customHeight="1">
      <c r="A1295" s="1">
        <v>1294.0</v>
      </c>
      <c r="B1295" s="1">
        <v>30.0</v>
      </c>
      <c r="C1295" s="4" t="s">
        <v>55</v>
      </c>
      <c r="D1295" s="38" t="str">
        <f>IFERROR(__xludf.DUMMYFUNCTION("LET(
  words, TRANSPOSE(SPLIT($C1295,""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)"),"yo Ben gusto mo magassign")</f>
        <v>yo Ben gusto mo magassign</v>
      </c>
      <c r="E1295" s="39" t="str">
        <f>IFERROR(__xludf.DUMMYFUNCTION("INDEX(SPLIT($C1295,"" ""), ROW()-ROW($E$1293)+1)
"),"gusto")</f>
        <v>gusto</v>
      </c>
      <c r="F1295" s="30" t="s">
        <v>16</v>
      </c>
      <c r="G1295" s="2"/>
      <c r="H1295" s="1" t="s">
        <v>0</v>
      </c>
      <c r="I1295" s="2"/>
      <c r="J1295" s="2"/>
      <c r="K1295" s="1" t="s">
        <v>15</v>
      </c>
    </row>
    <row r="1296" ht="15.75" customHeight="1">
      <c r="A1296" s="1">
        <v>1295.0</v>
      </c>
      <c r="B1296" s="1">
        <v>30.0</v>
      </c>
      <c r="C1296" s="4" t="s">
        <v>55</v>
      </c>
      <c r="D1296" s="38" t="str">
        <f>IFERROR(__xludf.DUMMYFUNCTION("LET(
  words, TRANSPOSE(SPLIT($C1296,""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)"),"Ben gusto mo magassign na")</f>
        <v>Ben gusto mo magassign na</v>
      </c>
      <c r="E1296" s="39" t="str">
        <f>IFERROR(__xludf.DUMMYFUNCTION("INDEX(SPLIT($C1296,"" ""), ROW()-ROW($E$1293)+1)
"),"mo")</f>
        <v>mo</v>
      </c>
      <c r="F1296" s="30" t="s">
        <v>16</v>
      </c>
      <c r="G1296" s="2"/>
      <c r="H1296" s="1" t="s">
        <v>0</v>
      </c>
      <c r="I1296" s="2"/>
      <c r="J1296" s="2"/>
      <c r="K1296" s="1" t="s">
        <v>15</v>
      </c>
    </row>
    <row r="1297" ht="15.75" customHeight="1">
      <c r="A1297" s="1">
        <v>1296.0</v>
      </c>
      <c r="B1297" s="1">
        <v>30.0</v>
      </c>
      <c r="C1297" s="4" t="s">
        <v>55</v>
      </c>
      <c r="D1297" s="38" t="str">
        <f>IFERROR(__xludf.DUMMYFUNCTION("LET(
  words, TRANSPOSE(SPLIT($C1297,""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)"),"gusto mo magassign na para")</f>
        <v>gusto mo magassign na para</v>
      </c>
      <c r="E1297" s="39" t="str">
        <f>IFERROR(__xludf.DUMMYFUNCTION("INDEX(SPLIT($C1297,"" ""), ROW()-ROW($E$1293)+1)
"),"magassign")</f>
        <v>magassign</v>
      </c>
      <c r="F1297" s="30" t="s">
        <v>23</v>
      </c>
      <c r="G1297" s="2"/>
      <c r="H1297" s="1" t="s">
        <v>0</v>
      </c>
      <c r="I1297" s="2"/>
      <c r="J1297" s="2"/>
      <c r="K1297" s="1" t="s">
        <v>15</v>
      </c>
    </row>
    <row r="1298" ht="15.75" customHeight="1">
      <c r="A1298" s="1">
        <v>1297.0</v>
      </c>
      <c r="B1298" s="1">
        <v>30.0</v>
      </c>
      <c r="C1298" s="4" t="s">
        <v>55</v>
      </c>
      <c r="D1298" s="38" t="str">
        <f>IFERROR(__xludf.DUMMYFUNCTION("LET(
  words, TRANSPOSE(SPLIT($C1298,""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)"),"mo magassign na para sa")</f>
        <v>mo magassign na para sa</v>
      </c>
      <c r="E1298" s="39" t="str">
        <f>IFERROR(__xludf.DUMMYFUNCTION("INDEX(SPLIT($C1298,"" ""), ROW()-ROW($E$1293)+1)
"),"na")</f>
        <v>na</v>
      </c>
      <c r="F1298" s="30" t="s">
        <v>16</v>
      </c>
      <c r="G1298" s="2"/>
      <c r="H1298" s="1" t="s">
        <v>0</v>
      </c>
      <c r="I1298" s="2"/>
      <c r="J1298" s="2"/>
      <c r="K1298" s="1" t="s">
        <v>15</v>
      </c>
    </row>
    <row r="1299" ht="15.75" customHeight="1">
      <c r="A1299" s="1">
        <v>1298.0</v>
      </c>
      <c r="B1299" s="1">
        <v>30.0</v>
      </c>
      <c r="C1299" s="4" t="s">
        <v>55</v>
      </c>
      <c r="D1299" s="38" t="str">
        <f>IFERROR(__xludf.DUMMYFUNCTION("LET(
  words, TRANSPOSE(SPLIT($C1299,""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)"),"magassign na para sa presentation")</f>
        <v>magassign na para sa presentation</v>
      </c>
      <c r="E1299" s="39" t="str">
        <f>IFERROR(__xludf.DUMMYFUNCTION("INDEX(SPLIT($C1299,"" ""), ROW()-ROW($E$1293)+1)
"),"para")</f>
        <v>para</v>
      </c>
      <c r="F1299" s="30" t="s">
        <v>16</v>
      </c>
      <c r="G1299" s="2"/>
      <c r="H1299" s="1" t="s">
        <v>0</v>
      </c>
      <c r="I1299" s="2"/>
      <c r="J1299" s="2"/>
      <c r="K1299" s="1" t="s">
        <v>15</v>
      </c>
    </row>
    <row r="1300" ht="15.75" customHeight="1">
      <c r="A1300" s="1">
        <v>1299.0</v>
      </c>
      <c r="B1300" s="1">
        <v>30.0</v>
      </c>
      <c r="C1300" s="4" t="s">
        <v>55</v>
      </c>
      <c r="D1300" s="38" t="str">
        <f>IFERROR(__xludf.DUMMYFUNCTION("LET(
  words, TRANSPOSE(SPLIT($C1300,""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)"),"na para sa presentation para")</f>
        <v>na para sa presentation para</v>
      </c>
      <c r="E1300" s="39" t="str">
        <f>IFERROR(__xludf.DUMMYFUNCTION("INDEX(SPLIT($C1300,"" ""), ROW()-ROW($E$1293)+1)
"),"sa")</f>
        <v>sa</v>
      </c>
      <c r="F1300" s="30" t="s">
        <v>16</v>
      </c>
      <c r="G1300" s="2"/>
      <c r="H1300" s="1" t="s">
        <v>0</v>
      </c>
      <c r="I1300" s="2"/>
      <c r="J1300" s="2"/>
      <c r="K1300" s="1" t="s">
        <v>15</v>
      </c>
    </row>
    <row r="1301" ht="15.75" customHeight="1">
      <c r="A1301" s="1">
        <v>1300.0</v>
      </c>
      <c r="B1301" s="1">
        <v>30.0</v>
      </c>
      <c r="C1301" s="4" t="s">
        <v>55</v>
      </c>
      <c r="D1301" s="38" t="str">
        <f>IFERROR(__xludf.DUMMYFUNCTION("LET(
  words, TRANSPOSE(SPLIT($C1301,""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)"),"para sa presentation para bukas")</f>
        <v>para sa presentation para bukas</v>
      </c>
      <c r="E1301" s="39" t="str">
        <f>IFERROR(__xludf.DUMMYFUNCTION("INDEX(SPLIT($C1301,"" ""), ROW()-ROW($E$1293)+1)
"),"presentation")</f>
        <v>presentation</v>
      </c>
      <c r="F1301" s="30" t="s">
        <v>18</v>
      </c>
      <c r="G1301" s="2"/>
      <c r="H1301" s="1" t="s">
        <v>0</v>
      </c>
      <c r="I1301" s="2"/>
      <c r="J1301" s="2"/>
      <c r="K1301" s="1" t="s">
        <v>15</v>
      </c>
    </row>
    <row r="1302" ht="15.75" customHeight="1">
      <c r="A1302" s="1">
        <v>1301.0</v>
      </c>
      <c r="B1302" s="1">
        <v>30.0</v>
      </c>
      <c r="C1302" s="4" t="s">
        <v>55</v>
      </c>
      <c r="D1302" s="38" t="str">
        <f>IFERROR(__xludf.DUMMYFUNCTION("LET(
  words, TRANSPOSE(SPLIT($C1302,""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)"),"sa presentation para bukas practice")</f>
        <v>sa presentation para bukas practice</v>
      </c>
      <c r="E1302" s="39" t="str">
        <f>IFERROR(__xludf.DUMMYFUNCTION("INDEX(SPLIT($C1302,"" ""), ROW()-ROW($E$1293)+1)
"),"para")</f>
        <v>para</v>
      </c>
      <c r="F1302" s="30" t="s">
        <v>16</v>
      </c>
      <c r="G1302" s="2"/>
      <c r="H1302" s="1" t="s">
        <v>0</v>
      </c>
      <c r="I1302" s="2"/>
      <c r="J1302" s="2"/>
      <c r="K1302" s="1" t="s">
        <v>15</v>
      </c>
    </row>
    <row r="1303" ht="15.75" customHeight="1">
      <c r="A1303" s="1">
        <v>1302.0</v>
      </c>
      <c r="B1303" s="1">
        <v>30.0</v>
      </c>
      <c r="C1303" s="4" t="s">
        <v>55</v>
      </c>
      <c r="D1303" s="38" t="str">
        <f>IFERROR(__xludf.DUMMYFUNCTION("LET(
  words, TRANSPOSE(SPLIT($C1303,""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)"),"presentation para bukas practice agad")</f>
        <v>presentation para bukas practice agad</v>
      </c>
      <c r="E1303" s="39" t="str">
        <f>IFERROR(__xludf.DUMMYFUNCTION("INDEX(SPLIT($C1303,"" ""), ROW()-ROW($E$1293)+1)
"),"bukas")</f>
        <v>bukas</v>
      </c>
      <c r="F1303" s="30" t="s">
        <v>16</v>
      </c>
      <c r="G1303" s="2"/>
      <c r="H1303" s="1" t="s">
        <v>0</v>
      </c>
      <c r="I1303" s="2"/>
      <c r="J1303" s="2"/>
      <c r="K1303" s="1" t="s">
        <v>15</v>
      </c>
    </row>
    <row r="1304" ht="15.75" customHeight="1">
      <c r="A1304" s="1">
        <v>1303.0</v>
      </c>
      <c r="B1304" s="1">
        <v>30.0</v>
      </c>
      <c r="C1304" s="4" t="s">
        <v>55</v>
      </c>
      <c r="D1304" s="38" t="str">
        <f>IFERROR(__xludf.DUMMYFUNCTION("LET(
  words, TRANSPOSE(SPLIT($C1304,""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)"),"para bukas practice agad ?")</f>
        <v>para bukas practice agad ?</v>
      </c>
      <c r="E1304" s="39" t="str">
        <f>IFERROR(__xludf.DUMMYFUNCTION("INDEX(SPLIT($C1304,"" ""), ROW()-ROW($E$1293)+1)
"),"practice")</f>
        <v>practice</v>
      </c>
      <c r="F1304" s="30" t="s">
        <v>18</v>
      </c>
      <c r="G1304" s="2"/>
      <c r="H1304" s="1" t="s">
        <v>0</v>
      </c>
      <c r="I1304" s="2"/>
      <c r="J1304" s="2"/>
      <c r="K1304" s="1" t="s">
        <v>15</v>
      </c>
    </row>
    <row r="1305" ht="15.75" customHeight="1">
      <c r="A1305" s="1">
        <v>1304.0</v>
      </c>
      <c r="B1305" s="1">
        <v>30.0</v>
      </c>
      <c r="C1305" s="4" t="s">
        <v>55</v>
      </c>
      <c r="D1305" s="38" t="str">
        <f>IFERROR(__xludf.DUMMYFUNCTION("LET(
  words, TRANSPOSE(SPLIT($C1305,""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)"),"bukas practice agad ? ang")</f>
        <v>bukas practice agad ? ang</v>
      </c>
      <c r="E1305" s="39" t="str">
        <f>IFERROR(__xludf.DUMMYFUNCTION("INDEX(SPLIT($C1305,"" ""), ROW()-ROW($E$1293)+1)
"),"agad")</f>
        <v>agad</v>
      </c>
      <c r="F1305" s="30" t="s">
        <v>16</v>
      </c>
      <c r="G1305" s="2"/>
      <c r="H1305" s="1" t="s">
        <v>0</v>
      </c>
      <c r="I1305" s="2"/>
      <c r="J1305" s="2"/>
      <c r="K1305" s="1" t="s">
        <v>15</v>
      </c>
    </row>
    <row r="1306" ht="15.75" customHeight="1">
      <c r="A1306" s="1">
        <v>1305.0</v>
      </c>
      <c r="B1306" s="1">
        <v>30.0</v>
      </c>
      <c r="C1306" s="4" t="s">
        <v>55</v>
      </c>
      <c r="D1306" s="38" t="str">
        <f>IFERROR(__xludf.DUMMYFUNCTION("LET(
  words, TRANSPOSE(SPLIT($C1306,""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)"),"practice agad ? ang panget")</f>
        <v>practice agad ? ang panget</v>
      </c>
      <c r="E1306" s="39" t="str">
        <f>IFERROR(__xludf.DUMMYFUNCTION("INDEX(SPLIT($C1306,"" ""), ROW()-ROW($E$1293)+1)
"),"?")</f>
        <v>?</v>
      </c>
      <c r="F1306" s="30" t="s">
        <v>17</v>
      </c>
      <c r="G1306" s="2"/>
      <c r="H1306" s="1" t="s">
        <v>0</v>
      </c>
      <c r="I1306" s="2"/>
      <c r="J1306" s="2"/>
      <c r="K1306" s="1" t="s">
        <v>15</v>
      </c>
    </row>
    <row r="1307" ht="15.75" customHeight="1">
      <c r="A1307" s="1">
        <v>1306.0</v>
      </c>
      <c r="B1307" s="1">
        <v>30.0</v>
      </c>
      <c r="C1307" s="4" t="s">
        <v>55</v>
      </c>
      <c r="D1307" s="38" t="str">
        <f>IFERROR(__xludf.DUMMYFUNCTION("LET(
  words, TRANSPOSE(SPLIT($C1307,""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)"),"agad ? ang panget ng")</f>
        <v>agad ? ang panget ng</v>
      </c>
      <c r="E1307" s="39" t="str">
        <f>IFERROR(__xludf.DUMMYFUNCTION("INDEX(SPLIT($C1307,"" ""), ROW()-ROW($E$1293)+1)
"),"ang")</f>
        <v>ang</v>
      </c>
      <c r="F1307" s="30" t="s">
        <v>16</v>
      </c>
      <c r="G1307" s="2"/>
      <c r="H1307" s="1" t="s">
        <v>0</v>
      </c>
      <c r="I1307" s="2"/>
      <c r="J1307" s="2"/>
      <c r="K1307" s="1" t="s">
        <v>15</v>
      </c>
    </row>
    <row r="1308" ht="15.75" customHeight="1">
      <c r="A1308" s="1">
        <v>1307.0</v>
      </c>
      <c r="B1308" s="1">
        <v>30.0</v>
      </c>
      <c r="C1308" s="4" t="s">
        <v>55</v>
      </c>
      <c r="D1308" s="38" t="str">
        <f>IFERROR(__xludf.DUMMYFUNCTION("LET(
  words, TRANSPOSE(SPLIT($C1308,""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)"),"? ang panget ng sched")</f>
        <v>? ang panget ng sched</v>
      </c>
      <c r="E1308" s="39" t="str">
        <f>IFERROR(__xludf.DUMMYFUNCTION("INDEX(SPLIT($C1308,"" ""), ROW()-ROW($E$1293)+1)
"),"panget")</f>
        <v>panget</v>
      </c>
      <c r="F1308" s="30" t="s">
        <v>16</v>
      </c>
      <c r="G1308" s="2"/>
      <c r="H1308" s="1" t="s">
        <v>0</v>
      </c>
      <c r="I1308" s="2"/>
      <c r="J1308" s="2"/>
      <c r="K1308" s="1" t="s">
        <v>15</v>
      </c>
    </row>
    <row r="1309" ht="15.75" customHeight="1">
      <c r="A1309" s="1">
        <v>1308.0</v>
      </c>
      <c r="B1309" s="1">
        <v>30.0</v>
      </c>
      <c r="C1309" s="4" t="s">
        <v>55</v>
      </c>
      <c r="D1309" s="38" t="str">
        <f>IFERROR(__xludf.DUMMYFUNCTION("LET(
  words, TRANSPOSE(SPLIT($C1309,""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)"),"ang panget ng sched natin")</f>
        <v>ang panget ng sched natin</v>
      </c>
      <c r="E1309" s="39" t="str">
        <f>IFERROR(__xludf.DUMMYFUNCTION("INDEX(SPLIT($C1309,"" ""), ROW()-ROW($E$1293)+1)
"),"ng")</f>
        <v>ng</v>
      </c>
      <c r="F1309" s="30" t="s">
        <v>16</v>
      </c>
      <c r="G1309" s="2"/>
      <c r="H1309" s="1" t="s">
        <v>0</v>
      </c>
      <c r="I1309" s="2"/>
      <c r="J1309" s="2"/>
      <c r="K1309" s="1" t="s">
        <v>15</v>
      </c>
    </row>
    <row r="1310" ht="15.75" customHeight="1">
      <c r="A1310" s="1">
        <v>1309.0</v>
      </c>
      <c r="B1310" s="1">
        <v>30.0</v>
      </c>
      <c r="C1310" s="4" t="s">
        <v>55</v>
      </c>
      <c r="D1310" s="38" t="str">
        <f>IFERROR(__xludf.DUMMYFUNCTION("LET(
  words, TRANSPOSE(SPLIT($C1310,""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)"),"panget ng sched natin this")</f>
        <v>panget ng sched natin this</v>
      </c>
      <c r="E1310" s="39" t="str">
        <f>IFERROR(__xludf.DUMMYFUNCTION("INDEX(SPLIT($C1310,"" ""), ROW()-ROW($E$1293)+1)
"),"sched")</f>
        <v>sched</v>
      </c>
      <c r="F1310" s="30" t="s">
        <v>18</v>
      </c>
      <c r="G1310" s="1" t="s">
        <v>19</v>
      </c>
      <c r="H1310" s="1" t="s">
        <v>0</v>
      </c>
      <c r="I1310" s="2"/>
      <c r="J1310" s="2"/>
      <c r="K1310" s="1" t="s">
        <v>15</v>
      </c>
    </row>
    <row r="1311" ht="15.75" customHeight="1">
      <c r="A1311" s="1">
        <v>1310.0</v>
      </c>
      <c r="B1311" s="1">
        <v>30.0</v>
      </c>
      <c r="C1311" s="4" t="s">
        <v>55</v>
      </c>
      <c r="D1311" s="38" t="str">
        <f>IFERROR(__xludf.DUMMYFUNCTION("LET(
  words, TRANSPOSE(SPLIT($C1311,""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)"),"ng sched natin this week")</f>
        <v>ng sched natin this week</v>
      </c>
      <c r="E1311" s="39" t="str">
        <f>IFERROR(__xludf.DUMMYFUNCTION("INDEX(SPLIT($C1311,"" ""), ROW()-ROW($E$1293)+1)
"),"natin")</f>
        <v>natin</v>
      </c>
      <c r="F1311" s="30" t="s">
        <v>16</v>
      </c>
      <c r="G1311" s="2"/>
      <c r="H1311" s="1" t="s">
        <v>0</v>
      </c>
      <c r="I1311" s="2"/>
      <c r="J1311" s="2"/>
      <c r="K1311" s="1" t="s">
        <v>15</v>
      </c>
    </row>
    <row r="1312" ht="15.75" customHeight="1">
      <c r="A1312" s="1">
        <v>1311.0</v>
      </c>
      <c r="B1312" s="1">
        <v>30.0</v>
      </c>
      <c r="C1312" s="4" t="s">
        <v>55</v>
      </c>
      <c r="D1312" s="38" t="str">
        <f>IFERROR(__xludf.DUMMYFUNCTION("LET(
  words, TRANSPOSE(SPLIT($C1312,""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)"),"sched natin this week huhu")</f>
        <v>sched natin this week huhu</v>
      </c>
      <c r="E1312" s="39" t="str">
        <f>IFERROR(__xludf.DUMMYFUNCTION("INDEX(SPLIT($C1312,"" ""), ROW()-ROW($E$1293)+1)
"),"this")</f>
        <v>this</v>
      </c>
      <c r="F1312" s="30" t="s">
        <v>18</v>
      </c>
      <c r="G1312" s="2"/>
      <c r="H1312" s="1" t="s">
        <v>0</v>
      </c>
      <c r="I1312" s="2"/>
      <c r="J1312" s="2"/>
      <c r="K1312" s="1" t="s">
        <v>15</v>
      </c>
    </row>
    <row r="1313" ht="15.75" customHeight="1">
      <c r="A1313" s="1">
        <v>1312.0</v>
      </c>
      <c r="B1313" s="1">
        <v>30.0</v>
      </c>
      <c r="C1313" s="4" t="s">
        <v>55</v>
      </c>
      <c r="D1313" s="38" t="str">
        <f>IFERROR(__xludf.DUMMYFUNCTION("LET(
  words, TRANSPOSE(SPLIT($C1313,""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)"),"natin this week huhu bukas")</f>
        <v>natin this week huhu bukas</v>
      </c>
      <c r="E1313" s="39" t="str">
        <f>IFERROR(__xludf.DUMMYFUNCTION("INDEX(SPLIT($C1313,"" ""), ROW()-ROW($E$1293)+1)
"),"week")</f>
        <v>week</v>
      </c>
      <c r="F1313" s="30" t="s">
        <v>18</v>
      </c>
      <c r="G1313" s="2"/>
      <c r="H1313" s="1" t="s">
        <v>0</v>
      </c>
      <c r="I1313" s="2"/>
      <c r="J1313" s="2"/>
      <c r="K1313" s="1" t="s">
        <v>15</v>
      </c>
    </row>
    <row r="1314" ht="15.75" customHeight="1">
      <c r="A1314" s="1">
        <v>1313.0</v>
      </c>
      <c r="B1314" s="1">
        <v>30.0</v>
      </c>
      <c r="C1314" s="4" t="s">
        <v>55</v>
      </c>
      <c r="D1314" s="38" t="str">
        <f>IFERROR(__xludf.DUMMYFUNCTION("LET(
  words, TRANSPOSE(SPLIT($C1314,""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)"),"this week huhu bukas hands")</f>
        <v>this week huhu bukas hands</v>
      </c>
      <c r="E1314" s="39" t="str">
        <f>IFERROR(__xludf.DUMMYFUNCTION("INDEX(SPLIT($C1314,"" ""), ROW()-ROW($E$1293)+1)
"),"huhu")</f>
        <v>huhu</v>
      </c>
      <c r="F1314" s="30" t="s">
        <v>13</v>
      </c>
      <c r="G1314" s="1" t="s">
        <v>14</v>
      </c>
      <c r="H1314" s="1" t="s">
        <v>0</v>
      </c>
      <c r="I1314" s="2"/>
      <c r="J1314" s="2"/>
      <c r="K1314" s="1" t="s">
        <v>15</v>
      </c>
    </row>
    <row r="1315" ht="15.75" customHeight="1">
      <c r="A1315" s="1">
        <v>1314.0</v>
      </c>
      <c r="B1315" s="1">
        <v>30.0</v>
      </c>
      <c r="C1315" s="4" t="s">
        <v>55</v>
      </c>
      <c r="D1315" s="38" t="str">
        <f>IFERROR(__xludf.DUMMYFUNCTION("LET(
  words, TRANSPOSE(SPLIT($C1315,""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)"),"week huhu bukas hands on")</f>
        <v>week huhu bukas hands on</v>
      </c>
      <c r="E1315" s="39" t="str">
        <f>IFERROR(__xludf.DUMMYFUNCTION("INDEX(SPLIT($C1315,"" ""), ROW()-ROW($E$1293)+1)
"),"bukas")</f>
        <v>bukas</v>
      </c>
      <c r="F1315" s="30" t="s">
        <v>16</v>
      </c>
      <c r="G1315" s="2"/>
      <c r="H1315" s="1" t="s">
        <v>0</v>
      </c>
      <c r="I1315" s="2"/>
      <c r="J1315" s="2"/>
      <c r="K1315" s="1" t="s">
        <v>15</v>
      </c>
    </row>
    <row r="1316" ht="15.75" customHeight="1">
      <c r="A1316" s="1">
        <v>1315.0</v>
      </c>
      <c r="B1316" s="1">
        <v>30.0</v>
      </c>
      <c r="C1316" s="4" t="s">
        <v>55</v>
      </c>
      <c r="D1316" s="38" t="str">
        <f>IFERROR(__xludf.DUMMYFUNCTION("LET(
  words, TRANSPOSE(SPLIT($C1316,""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)"),"huhu bukas hands on tas")</f>
        <v>huhu bukas hands on tas</v>
      </c>
      <c r="E1316" s="39" t="str">
        <f>IFERROR(__xludf.DUMMYFUNCTION("INDEX(SPLIT($C1316,"" ""), ROW()-ROW($E$1293)+1)
"),"hands")</f>
        <v>hands</v>
      </c>
      <c r="F1316" s="30" t="s">
        <v>18</v>
      </c>
      <c r="G1316" s="2"/>
      <c r="H1316" s="1" t="s">
        <v>0</v>
      </c>
      <c r="I1316" s="2"/>
      <c r="J1316" s="2"/>
      <c r="K1316" s="1" t="s">
        <v>15</v>
      </c>
    </row>
    <row r="1317" ht="15.75" customHeight="1">
      <c r="A1317" s="1">
        <v>1316.0</v>
      </c>
      <c r="B1317" s="1">
        <v>30.0</v>
      </c>
      <c r="C1317" s="4" t="s">
        <v>55</v>
      </c>
      <c r="D1317" s="38" t="str">
        <f>IFERROR(__xludf.DUMMYFUNCTION("LET(
  words, TRANSPOSE(SPLIT($C1317,""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)"),"bukas hands on tas sa")</f>
        <v>bukas hands on tas sa</v>
      </c>
      <c r="E1317" s="39" t="str">
        <f>IFERROR(__xludf.DUMMYFUNCTION("INDEX(SPLIT($C1317,"" ""), ROW()-ROW($E$1293)+1)
"),"on")</f>
        <v>on</v>
      </c>
      <c r="F1317" s="30" t="s">
        <v>18</v>
      </c>
      <c r="G1317" s="2"/>
      <c r="H1317" s="1" t="s">
        <v>0</v>
      </c>
      <c r="I1317" s="2"/>
      <c r="J1317" s="2"/>
      <c r="K1317" s="1" t="s">
        <v>15</v>
      </c>
    </row>
    <row r="1318" ht="15.75" customHeight="1">
      <c r="A1318" s="1">
        <v>1317.0</v>
      </c>
      <c r="B1318" s="1">
        <v>30.0</v>
      </c>
      <c r="C1318" s="4" t="s">
        <v>55</v>
      </c>
      <c r="D1318" s="38" t="str">
        <f>IFERROR(__xludf.DUMMYFUNCTION("LET(
  words, TRANSPOSE(SPLIT($C1318,""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)"),"hands on tas sa thursday")</f>
        <v>hands on tas sa thursday</v>
      </c>
      <c r="E1318" s="39" t="str">
        <f>IFERROR(__xludf.DUMMYFUNCTION("INDEX(SPLIT($C1318,"" ""), ROW()-ROW($E$1293)+1)
"),"tas")</f>
        <v>tas</v>
      </c>
      <c r="F1318" s="30" t="s">
        <v>16</v>
      </c>
      <c r="G1318" s="1" t="s">
        <v>19</v>
      </c>
      <c r="H1318" s="1" t="s">
        <v>0</v>
      </c>
      <c r="I1318" s="2"/>
      <c r="J1318" s="2"/>
      <c r="K1318" s="1" t="s">
        <v>15</v>
      </c>
    </row>
    <row r="1319" ht="15.75" customHeight="1">
      <c r="A1319" s="1">
        <v>1318.0</v>
      </c>
      <c r="B1319" s="1">
        <v>30.0</v>
      </c>
      <c r="C1319" s="4" t="s">
        <v>55</v>
      </c>
      <c r="D1319" s="38" t="str">
        <f>IFERROR(__xludf.DUMMYFUNCTION("LET(
  words, TRANSPOSE(SPLIT($C1319,""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)"),"on tas sa thursday ,")</f>
        <v>on tas sa thursday ,</v>
      </c>
      <c r="E1319" s="39" t="str">
        <f>IFERROR(__xludf.DUMMYFUNCTION("INDEX(SPLIT($C1319,"" ""), ROW()-ROW($E$1293)+1)
"),"sa")</f>
        <v>sa</v>
      </c>
      <c r="F1319" s="30" t="s">
        <v>16</v>
      </c>
      <c r="G1319" s="2"/>
      <c r="H1319" s="1" t="s">
        <v>0</v>
      </c>
      <c r="I1319" s="2"/>
      <c r="J1319" s="2"/>
      <c r="K1319" s="1" t="s">
        <v>15</v>
      </c>
    </row>
    <row r="1320" ht="15.75" customHeight="1">
      <c r="A1320" s="1">
        <v>1319.0</v>
      </c>
      <c r="B1320" s="1">
        <v>30.0</v>
      </c>
      <c r="C1320" s="4" t="s">
        <v>55</v>
      </c>
      <c r="D1320" s="38" t="str">
        <f>IFERROR(__xludf.DUMMYFUNCTION("LET(
  words, TRANSPOSE(SPLIT($C1320,""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)"),"tas sa thursday , presentation")</f>
        <v>tas sa thursday , presentation</v>
      </c>
      <c r="E1320" s="39" t="str">
        <f>IFERROR(__xludf.DUMMYFUNCTION("INDEX(SPLIT($C1320,"" ""), ROW()-ROW($E$1293)+1)
"),"thursday")</f>
        <v>thursday</v>
      </c>
      <c r="F1320" s="30" t="s">
        <v>18</v>
      </c>
      <c r="G1320" s="2"/>
      <c r="H1320" s="1" t="s">
        <v>0</v>
      </c>
      <c r="I1320" s="2"/>
      <c r="J1320" s="2"/>
      <c r="K1320" s="1" t="s">
        <v>15</v>
      </c>
    </row>
    <row r="1321" ht="15.75" customHeight="1">
      <c r="A1321" s="1">
        <v>1320.0</v>
      </c>
      <c r="B1321" s="1">
        <v>30.0</v>
      </c>
      <c r="C1321" s="4" t="s">
        <v>55</v>
      </c>
      <c r="D1321" s="38" t="str">
        <f>IFERROR(__xludf.DUMMYFUNCTION("LET(
  words, TRANSPOSE(SPLIT($C1321,""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)"),"sa thursday , presentation tas")</f>
        <v>sa thursday , presentation tas</v>
      </c>
      <c r="E1321" s="39" t="str">
        <f>IFERROR(__xludf.DUMMYFUNCTION("INDEX(SPLIT($C1321,"" ""), ROW()-ROW($E$1293)+1)
"),",")</f>
        <v>,</v>
      </c>
      <c r="F1321" s="30" t="s">
        <v>17</v>
      </c>
      <c r="G1321" s="2"/>
      <c r="H1321" s="1" t="s">
        <v>0</v>
      </c>
      <c r="I1321" s="2"/>
      <c r="J1321" s="2"/>
      <c r="K1321" s="1" t="s">
        <v>15</v>
      </c>
    </row>
    <row r="1322" ht="15.75" customHeight="1">
      <c r="A1322" s="1">
        <v>1321.0</v>
      </c>
      <c r="B1322" s="1">
        <v>30.0</v>
      </c>
      <c r="C1322" s="4" t="s">
        <v>55</v>
      </c>
      <c r="D1322" s="38" t="str">
        <f>IFERROR(__xludf.DUMMYFUNCTION("LET(
  words, TRANSPOSE(SPLIT($C1322,""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)"),"thursday , presentation tas sa")</f>
        <v>thursday , presentation tas sa</v>
      </c>
      <c r="E1322" s="39" t="str">
        <f>IFERROR(__xludf.DUMMYFUNCTION("INDEX(SPLIT($C1322,"" ""), ROW()-ROW($E$1293)+1)
"),"presentation")</f>
        <v>presentation</v>
      </c>
      <c r="F1322" s="30" t="s">
        <v>18</v>
      </c>
      <c r="G1322" s="2"/>
      <c r="H1322" s="1" t="s">
        <v>0</v>
      </c>
      <c r="I1322" s="2"/>
      <c r="J1322" s="2"/>
      <c r="K1322" s="1" t="s">
        <v>15</v>
      </c>
    </row>
    <row r="1323" ht="15.75" customHeight="1">
      <c r="A1323" s="1">
        <v>1322.0</v>
      </c>
      <c r="B1323" s="1">
        <v>30.0</v>
      </c>
      <c r="C1323" s="4" t="s">
        <v>55</v>
      </c>
      <c r="D1323" s="38" t="str">
        <f>IFERROR(__xludf.DUMMYFUNCTION("LET(
  words, TRANSPOSE(SPLIT($C1323,""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)"),", presentation tas sa friday")</f>
        <v>, presentation tas sa friday</v>
      </c>
      <c r="E1323" s="39" t="str">
        <f>IFERROR(__xludf.DUMMYFUNCTION("INDEX(SPLIT($C1323,"" ""), ROW()-ROW($E$1293)+1)
"),"tas")</f>
        <v>tas</v>
      </c>
      <c r="F1323" s="30" t="s">
        <v>16</v>
      </c>
      <c r="G1323" s="1" t="s">
        <v>19</v>
      </c>
      <c r="H1323" s="1" t="s">
        <v>0</v>
      </c>
      <c r="I1323" s="2"/>
      <c r="J1323" s="2"/>
      <c r="K1323" s="1" t="s">
        <v>15</v>
      </c>
    </row>
    <row r="1324" ht="15.75" customHeight="1">
      <c r="A1324" s="1">
        <v>1323.0</v>
      </c>
      <c r="B1324" s="1">
        <v>30.0</v>
      </c>
      <c r="C1324" s="4" t="s">
        <v>55</v>
      </c>
      <c r="D1324" s="38" t="str">
        <f>IFERROR(__xludf.DUMMYFUNCTION("LET(
  words, TRANSPOSE(SPLIT($C1324,""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)"),"presentation tas sa friday ,")</f>
        <v>presentation tas sa friday ,</v>
      </c>
      <c r="E1324" s="39" t="str">
        <f>IFERROR(__xludf.DUMMYFUNCTION("INDEX(SPLIT($C1324,"" ""), ROW()-ROW($E$1293)+1)
"),"sa")</f>
        <v>sa</v>
      </c>
      <c r="F1324" s="30" t="s">
        <v>16</v>
      </c>
      <c r="G1324" s="2"/>
      <c r="H1324" s="1" t="s">
        <v>0</v>
      </c>
      <c r="I1324" s="2"/>
      <c r="J1324" s="2"/>
      <c r="K1324" s="1" t="s">
        <v>15</v>
      </c>
    </row>
    <row r="1325" ht="15.75" customHeight="1">
      <c r="A1325" s="1">
        <v>1324.0</v>
      </c>
      <c r="B1325" s="1">
        <v>30.0</v>
      </c>
      <c r="C1325" s="4" t="s">
        <v>55</v>
      </c>
      <c r="D1325" s="38" t="str">
        <f>IFERROR(__xludf.DUMMYFUNCTION("LET(
  words, TRANSPOSE(SPLIT($C1325,""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)"),"tas sa friday , quiz")</f>
        <v>tas sa friday , quiz</v>
      </c>
      <c r="E1325" s="39" t="str">
        <f>IFERROR(__xludf.DUMMYFUNCTION("INDEX(SPLIT($C1325,"" ""), ROW()-ROW($E$1293)+1)
"),"friday")</f>
        <v>friday</v>
      </c>
      <c r="F1325" s="30" t="s">
        <v>18</v>
      </c>
      <c r="G1325" s="2"/>
      <c r="H1325" s="1" t="s">
        <v>0</v>
      </c>
      <c r="I1325" s="2"/>
      <c r="J1325" s="2"/>
      <c r="K1325" s="1" t="s">
        <v>15</v>
      </c>
    </row>
    <row r="1326" ht="15.75" customHeight="1">
      <c r="A1326" s="1">
        <v>1325.0</v>
      </c>
      <c r="B1326" s="1">
        <v>30.0</v>
      </c>
      <c r="C1326" s="4" t="s">
        <v>55</v>
      </c>
      <c r="D1326" s="38" t="str">
        <f>IFERROR(__xludf.DUMMYFUNCTION("LET(
  words, TRANSPOSE(SPLIT($C1326,""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)"),"sa friday , quiz sa")</f>
        <v>sa friday , quiz sa</v>
      </c>
      <c r="E1326" s="39" t="str">
        <f>IFERROR(__xludf.DUMMYFUNCTION("INDEX(SPLIT($C1326,"" ""), ROW()-ROW($E$1293)+1)
"),",")</f>
        <v>,</v>
      </c>
      <c r="F1326" s="30" t="s">
        <v>17</v>
      </c>
      <c r="G1326" s="2"/>
      <c r="H1326" s="1" t="s">
        <v>0</v>
      </c>
      <c r="I1326" s="2"/>
      <c r="J1326" s="2"/>
      <c r="K1326" s="1" t="s">
        <v>15</v>
      </c>
    </row>
    <row r="1327" ht="15.75" customHeight="1">
      <c r="A1327" s="1">
        <v>1326.0</v>
      </c>
      <c r="B1327" s="1">
        <v>30.0</v>
      </c>
      <c r="C1327" s="4" t="s">
        <v>55</v>
      </c>
      <c r="D1327" s="38" t="str">
        <f>IFERROR(__xludf.DUMMYFUNCTION("LET(
  words, TRANSPOSE(SPLIT($C1327,""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)"),"friday , quiz sa math")</f>
        <v>friday , quiz sa math</v>
      </c>
      <c r="E1327" s="39" t="str">
        <f>IFERROR(__xludf.DUMMYFUNCTION("INDEX(SPLIT($C1327,"" ""), ROW()-ROW($E$1293)+1)
"),"quiz")</f>
        <v>quiz</v>
      </c>
      <c r="F1327" s="30" t="s">
        <v>18</v>
      </c>
      <c r="G1327" s="2"/>
      <c r="H1327" s="1" t="s">
        <v>0</v>
      </c>
      <c r="I1327" s="2"/>
      <c r="J1327" s="2"/>
      <c r="K1327" s="1" t="s">
        <v>15</v>
      </c>
    </row>
    <row r="1328" ht="15.75" customHeight="1">
      <c r="A1328" s="1">
        <v>1327.0</v>
      </c>
      <c r="B1328" s="1">
        <v>30.0</v>
      </c>
      <c r="C1328" s="4" t="s">
        <v>55</v>
      </c>
      <c r="D1328" s="38" t="str">
        <f>IFERROR(__xludf.DUMMYFUNCTION("LET(
  words, TRANSPOSE(SPLIT($C1328,""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)"),", quiz sa math ,")</f>
        <v>, quiz sa math ,</v>
      </c>
      <c r="E1328" s="39" t="str">
        <f>IFERROR(__xludf.DUMMYFUNCTION("INDEX(SPLIT($C1328,"" ""), ROW()-ROW($E$1293)+1)
"),"sa")</f>
        <v>sa</v>
      </c>
      <c r="F1328" s="30" t="s">
        <v>16</v>
      </c>
      <c r="G1328" s="2"/>
      <c r="H1328" s="1" t="s">
        <v>0</v>
      </c>
      <c r="I1328" s="2"/>
      <c r="J1328" s="2"/>
      <c r="K1328" s="1" t="s">
        <v>15</v>
      </c>
    </row>
    <row r="1329" ht="15.75" customHeight="1">
      <c r="A1329" s="1">
        <v>1328.0</v>
      </c>
      <c r="B1329" s="1">
        <v>30.0</v>
      </c>
      <c r="C1329" s="4" t="s">
        <v>55</v>
      </c>
      <c r="D1329" s="38" t="str">
        <f>IFERROR(__xludf.DUMMYFUNCTION("LET(
  words, TRANSPOSE(SPLIT($C1329,""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)"),"quiz sa math , rushed")</f>
        <v>quiz sa math , rushed</v>
      </c>
      <c r="E1329" s="39" t="str">
        <f>IFERROR(__xludf.DUMMYFUNCTION("INDEX(SPLIT($C1329,"" ""), ROW()-ROW($E$1293)+1)
"),"math")</f>
        <v>math</v>
      </c>
      <c r="F1329" s="30" t="s">
        <v>18</v>
      </c>
      <c r="G1329" s="1" t="s">
        <v>31</v>
      </c>
      <c r="H1329" s="1" t="s">
        <v>0</v>
      </c>
      <c r="I1329" s="2"/>
      <c r="J1329" s="2"/>
      <c r="K1329" s="1" t="s">
        <v>15</v>
      </c>
    </row>
    <row r="1330" ht="15.75" customHeight="1">
      <c r="A1330" s="1">
        <v>1329.0</v>
      </c>
      <c r="B1330" s="1">
        <v>30.0</v>
      </c>
      <c r="C1330" s="4" t="s">
        <v>55</v>
      </c>
      <c r="D1330" s="38" t="str">
        <f>IFERROR(__xludf.DUMMYFUNCTION("LET(
  words, TRANSPOSE(SPLIT($C1330,""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)"),"sa math , rushed lhat")</f>
        <v>sa math , rushed lhat</v>
      </c>
      <c r="E1330" s="39" t="str">
        <f>IFERROR(__xludf.DUMMYFUNCTION("INDEX(SPLIT($C1330,"" ""), ROW()-ROW($E$1293)+1)
"),",")</f>
        <v>,</v>
      </c>
      <c r="F1330" s="30" t="s">
        <v>17</v>
      </c>
      <c r="G1330" s="2"/>
      <c r="H1330" s="1" t="s">
        <v>0</v>
      </c>
      <c r="I1330" s="2"/>
      <c r="J1330" s="2"/>
      <c r="K1330" s="1" t="s">
        <v>15</v>
      </c>
    </row>
    <row r="1331" ht="15.75" customHeight="1">
      <c r="A1331" s="1">
        <v>1330.0</v>
      </c>
      <c r="B1331" s="1">
        <v>30.0</v>
      </c>
      <c r="C1331" s="4" t="s">
        <v>55</v>
      </c>
      <c r="D1331" s="38" t="str">
        <f>IFERROR(__xludf.DUMMYFUNCTION("LET(
  words, TRANSPOSE(SPLIT($C1331,""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)"),"math , rushed lhat kasi")</f>
        <v>math , rushed lhat kasi</v>
      </c>
      <c r="E1331" s="39" t="str">
        <f>IFERROR(__xludf.DUMMYFUNCTION("INDEX(SPLIT($C1331,"" ""), ROW()-ROW($E$1293)+1)
"),"rushed")</f>
        <v>rushed</v>
      </c>
      <c r="F1331" s="30" t="s">
        <v>18</v>
      </c>
      <c r="G1331" s="2"/>
      <c r="H1331" s="1" t="s">
        <v>0</v>
      </c>
      <c r="I1331" s="2"/>
      <c r="J1331" s="2"/>
      <c r="K1331" s="1" t="s">
        <v>15</v>
      </c>
    </row>
    <row r="1332" ht="15.75" customHeight="1">
      <c r="A1332" s="1">
        <v>1331.0</v>
      </c>
      <c r="B1332" s="1">
        <v>30.0</v>
      </c>
      <c r="C1332" s="4" t="s">
        <v>55</v>
      </c>
      <c r="D1332" s="38" t="str">
        <f>IFERROR(__xludf.DUMMYFUNCTION("LET(
  words, TRANSPOSE(SPLIT($C1332,""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)"),", rushed lhat kasi puro")</f>
        <v>, rushed lhat kasi puro</v>
      </c>
      <c r="E1332" s="39" t="str">
        <f>IFERROR(__xludf.DUMMYFUNCTION("INDEX(SPLIT($C1332,"" ""), ROW()-ROW($E$1293)+1)
"),"lhat")</f>
        <v>lhat</v>
      </c>
      <c r="F1332" s="30" t="s">
        <v>16</v>
      </c>
      <c r="G1332" s="1" t="s">
        <v>19</v>
      </c>
      <c r="H1332" s="1" t="s">
        <v>0</v>
      </c>
      <c r="I1332" s="2"/>
      <c r="J1332" s="2"/>
      <c r="K1332" s="1" t="s">
        <v>15</v>
      </c>
    </row>
    <row r="1333" ht="15.75" customHeight="1">
      <c r="A1333" s="1">
        <v>1332.0</v>
      </c>
      <c r="B1333" s="1">
        <v>30.0</v>
      </c>
      <c r="C1333" s="4" t="s">
        <v>55</v>
      </c>
      <c r="D1333" s="38" t="str">
        <f>IFERROR(__xludf.DUMMYFUNCTION("LET(
  words, TRANSPOSE(SPLIT($C1333,""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)"),"rushed lhat kasi puro suspension")</f>
        <v>rushed lhat kasi puro suspension</v>
      </c>
      <c r="E1333" s="39" t="str">
        <f>IFERROR(__xludf.DUMMYFUNCTION("INDEX(SPLIT($C1333,"" ""), ROW()-ROW($E$1293)+1)
"),"kasi")</f>
        <v>kasi</v>
      </c>
      <c r="F1333" s="30" t="s">
        <v>16</v>
      </c>
      <c r="G1333" s="2"/>
      <c r="H1333" s="1" t="s">
        <v>0</v>
      </c>
      <c r="I1333" s="2"/>
      <c r="J1333" s="2"/>
      <c r="K1333" s="1" t="s">
        <v>15</v>
      </c>
    </row>
    <row r="1334" ht="15.75" customHeight="1">
      <c r="A1334" s="1">
        <v>1333.0</v>
      </c>
      <c r="B1334" s="1">
        <v>30.0</v>
      </c>
      <c r="C1334" s="4" t="s">
        <v>55</v>
      </c>
      <c r="D1334" s="38" t="str">
        <f>IFERROR(__xludf.DUMMYFUNCTION("LET(
  words, TRANSPOSE(SPLIT($C1334,""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)"),"lhat kasi puro suspension tsaka")</f>
        <v>lhat kasi puro suspension tsaka</v>
      </c>
      <c r="E1334" s="39" t="str">
        <f>IFERROR(__xludf.DUMMYFUNCTION("INDEX(SPLIT($C1334,"" ""), ROW()-ROW($E$1293)+1)
"),"puro")</f>
        <v>puro</v>
      </c>
      <c r="F1334" s="30" t="s">
        <v>16</v>
      </c>
      <c r="G1334" s="2"/>
      <c r="H1334" s="1" t="s">
        <v>0</v>
      </c>
      <c r="I1334" s="2"/>
      <c r="J1334" s="2"/>
      <c r="K1334" s="1" t="s">
        <v>15</v>
      </c>
    </row>
    <row r="1335" ht="15.75" customHeight="1">
      <c r="A1335" s="1">
        <v>1334.0</v>
      </c>
      <c r="B1335" s="1">
        <v>30.0</v>
      </c>
      <c r="C1335" s="4" t="s">
        <v>55</v>
      </c>
      <c r="D1335" s="38" t="str">
        <f>IFERROR(__xludf.DUMMYFUNCTION("LET(
  words, TRANSPOSE(SPLIT($C1335,""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)"),"kasi puro suspension tsaka may")</f>
        <v>kasi puro suspension tsaka may</v>
      </c>
      <c r="E1335" s="39" t="str">
        <f>IFERROR(__xludf.DUMMYFUNCTION("INDEX(SPLIT($C1335,"" ""), ROW()-ROW($E$1293)+1)
"),"suspension")</f>
        <v>suspension</v>
      </c>
      <c r="F1335" s="30" t="s">
        <v>18</v>
      </c>
      <c r="G1335" s="2"/>
      <c r="H1335" s="1" t="s">
        <v>0</v>
      </c>
      <c r="I1335" s="2"/>
      <c r="J1335" s="2"/>
      <c r="K1335" s="1" t="s">
        <v>15</v>
      </c>
    </row>
    <row r="1336" ht="15.75" customHeight="1">
      <c r="A1336" s="1">
        <v>1335.0</v>
      </c>
      <c r="B1336" s="1">
        <v>30.0</v>
      </c>
      <c r="C1336" s="4" t="s">
        <v>55</v>
      </c>
      <c r="D1336" s="38" t="str">
        <f>IFERROR(__xludf.DUMMYFUNCTION("LET(
  words, TRANSPOSE(SPLIT($C1336,""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)"),"puro suspension tsaka may ilw")</f>
        <v>puro suspension tsaka may ilw</v>
      </c>
      <c r="E1336" s="39" t="str">
        <f>IFERROR(__xludf.DUMMYFUNCTION("INDEX(SPLIT($C1336,"" ""), ROW()-ROW($E$1293)+1)
"),"tsaka")</f>
        <v>tsaka</v>
      </c>
      <c r="F1336" s="30" t="s">
        <v>16</v>
      </c>
      <c r="G1336" s="2"/>
      <c r="H1336" s="1" t="s">
        <v>0</v>
      </c>
      <c r="I1336" s="2"/>
      <c r="J1336" s="2"/>
      <c r="K1336" s="1" t="s">
        <v>15</v>
      </c>
    </row>
    <row r="1337" ht="15.75" customHeight="1">
      <c r="A1337" s="1">
        <v>1336.0</v>
      </c>
      <c r="B1337" s="1">
        <v>30.0</v>
      </c>
      <c r="C1337" s="4" t="s">
        <v>55</v>
      </c>
      <c r="D1337" s="38" t="str">
        <f>IFERROR(__xludf.DUMMYFUNCTION("LET(
  words, TRANSPOSE(SPLIT($C1337,""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)"),"suspension tsaka may ilw pa")</f>
        <v>suspension tsaka may ilw pa</v>
      </c>
      <c r="E1337" s="39" t="str">
        <f>IFERROR(__xludf.DUMMYFUNCTION("INDEX(SPLIT($C1337,"" ""), ROW()-ROW($E$1293)+1)
"),"may")</f>
        <v>may</v>
      </c>
      <c r="F1337" s="30" t="s">
        <v>16</v>
      </c>
      <c r="G1337" s="2"/>
      <c r="H1337" s="1" t="s">
        <v>0</v>
      </c>
      <c r="I1337" s="2"/>
      <c r="J1337" s="2"/>
      <c r="K1337" s="1" t="s">
        <v>15</v>
      </c>
    </row>
    <row r="1338" ht="15.75" customHeight="1">
      <c r="A1338" s="1">
        <v>1337.0</v>
      </c>
      <c r="B1338" s="1">
        <v>30.0</v>
      </c>
      <c r="C1338" s="4" t="s">
        <v>55</v>
      </c>
      <c r="D1338" s="38" t="str">
        <f>IFERROR(__xludf.DUMMYFUNCTION("LET(
  words, TRANSPOSE(SPLIT($C1338,""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)"),"tsaka may ilw pa")</f>
        <v>tsaka may ilw pa</v>
      </c>
      <c r="E1338" s="39" t="str">
        <f>IFERROR(__xludf.DUMMYFUNCTION("INDEX(SPLIT($C1338,"" ""), ROW()-ROW($E$1293)+1)
"),"ilw")</f>
        <v>ilw</v>
      </c>
      <c r="F1338" s="30" t="s">
        <v>18</v>
      </c>
      <c r="G1338" s="1" t="s">
        <v>31</v>
      </c>
      <c r="H1338" s="1" t="s">
        <v>0</v>
      </c>
      <c r="I1338" s="2"/>
      <c r="J1338" s="2"/>
      <c r="K1338" s="1" t="s">
        <v>15</v>
      </c>
    </row>
    <row r="1339" ht="15.75" customHeight="1">
      <c r="A1339" s="10">
        <v>1338.0</v>
      </c>
      <c r="B1339" s="10">
        <v>30.0</v>
      </c>
      <c r="C1339" s="7" t="s">
        <v>55</v>
      </c>
      <c r="D1339" s="40" t="str">
        <f>IFERROR(__xludf.DUMMYFUNCTION("LET(
  words, TRANSPOSE(SPLIT($C1339,"" "")),
  n, ROWS(words),
  i, ROW() - ROW($D$1293)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)"),"may ilw pa")</f>
        <v>may ilw pa</v>
      </c>
      <c r="E1339" s="41" t="str">
        <f>IFERROR(__xludf.DUMMYFUNCTION("INDEX(SPLIT($C1339,"" ""), ROW()-ROW($E$1293)+1)
"),"pa")</f>
        <v>pa</v>
      </c>
      <c r="F1339" s="32" t="s">
        <v>16</v>
      </c>
      <c r="G1339" s="6"/>
      <c r="H1339" s="10" t="s">
        <v>0</v>
      </c>
      <c r="I1339" s="6"/>
      <c r="J1339" s="6"/>
      <c r="K1339" s="10" t="s">
        <v>15</v>
      </c>
      <c r="L1339" s="6"/>
    </row>
    <row r="1340" ht="15.75" customHeight="1">
      <c r="A1340" s="1">
        <v>1339.0</v>
      </c>
      <c r="B1340" s="1">
        <v>31.0</v>
      </c>
      <c r="C1340" s="4" t="s">
        <v>56</v>
      </c>
      <c r="D1340" s="38" t="str">
        <f>IFERROR(__xludf.DUMMYFUNCTION("LET(
  words, TRANSPOSE(SPLIT($C1340,""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)"),"hi guyss !")</f>
        <v>hi guyss !</v>
      </c>
      <c r="E1340" s="39" t="str">
        <f>IFERROR(__xludf.DUMMYFUNCTION("INDEX(SPLIT($C1340,"" ""), ROW()-ROW($E$1340)+1)
"),"hi")</f>
        <v>hi</v>
      </c>
      <c r="F1340" s="30" t="s">
        <v>18</v>
      </c>
      <c r="G1340" s="2"/>
      <c r="H1340" s="1" t="s">
        <v>0</v>
      </c>
      <c r="I1340" s="2"/>
      <c r="J1340" s="2"/>
      <c r="K1340" s="1" t="s">
        <v>15</v>
      </c>
    </row>
    <row r="1341" ht="15.75" customHeight="1">
      <c r="A1341" s="1">
        <v>1340.0</v>
      </c>
      <c r="B1341" s="1">
        <v>31.0</v>
      </c>
      <c r="C1341" s="4" t="s">
        <v>56</v>
      </c>
      <c r="D1341" s="38" t="str">
        <f>IFERROR(__xludf.DUMMYFUNCTION("LET(
  words, TRANSPOSE(SPLIT($C1341,""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)"),"hi guyss ! can")</f>
        <v>hi guyss ! can</v>
      </c>
      <c r="E1341" s="39" t="str">
        <f>IFERROR(__xludf.DUMMYFUNCTION("INDEX(SPLIT($C1341,"" ""), ROW()-ROW($E$1340)+1)
"),"guyss")</f>
        <v>guyss</v>
      </c>
      <c r="F1341" s="30" t="s">
        <v>18</v>
      </c>
      <c r="G1341" s="2"/>
      <c r="H1341" s="1" t="s">
        <v>0</v>
      </c>
      <c r="I1341" s="2"/>
      <c r="J1341" s="2"/>
      <c r="K1341" s="1" t="s">
        <v>15</v>
      </c>
    </row>
    <row r="1342" ht="15.75" customHeight="1">
      <c r="A1342" s="1">
        <v>1341.0</v>
      </c>
      <c r="B1342" s="1">
        <v>31.0</v>
      </c>
      <c r="C1342" s="4" t="s">
        <v>56</v>
      </c>
      <c r="D1342" s="38" t="str">
        <f>IFERROR(__xludf.DUMMYFUNCTION("LET(
  words, TRANSPOSE(SPLIT($C1342,""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)"),"hi guyss ! can you")</f>
        <v>hi guyss ! can you</v>
      </c>
      <c r="E1342" s="39" t="str">
        <f>IFERROR(__xludf.DUMMYFUNCTION("INDEX(SPLIT($C1342,"" ""), ROW()-ROW($E$1340)+1)
"),"!")</f>
        <v>!</v>
      </c>
      <c r="F1342" s="30" t="s">
        <v>17</v>
      </c>
      <c r="G1342" s="2"/>
      <c r="H1342" s="1" t="s">
        <v>0</v>
      </c>
      <c r="I1342" s="2"/>
      <c r="J1342" s="2"/>
      <c r="K1342" s="1" t="s">
        <v>15</v>
      </c>
    </row>
    <row r="1343" ht="15.75" customHeight="1">
      <c r="A1343" s="1">
        <v>1342.0</v>
      </c>
      <c r="B1343" s="1">
        <v>31.0</v>
      </c>
      <c r="C1343" s="4" t="s">
        <v>56</v>
      </c>
      <c r="D1343" s="38" t="str">
        <f>IFERROR(__xludf.DUMMYFUNCTION("LET(
  words, TRANSPOSE(SPLIT($C1343,""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)"),"guyss ! can you please")</f>
        <v>guyss ! can you please</v>
      </c>
      <c r="E1343" s="39" t="str">
        <f>IFERROR(__xludf.DUMMYFUNCTION("INDEX(SPLIT($C1343,"" ""), ROW()-ROW($E$1340)+1)
"),"can")</f>
        <v>can</v>
      </c>
      <c r="F1343" s="30" t="s">
        <v>18</v>
      </c>
      <c r="G1343" s="2"/>
      <c r="H1343" s="1" t="s">
        <v>0</v>
      </c>
      <c r="I1343" s="2"/>
      <c r="J1343" s="2"/>
      <c r="K1343" s="1" t="s">
        <v>15</v>
      </c>
    </row>
    <row r="1344" ht="15.75" customHeight="1">
      <c r="A1344" s="1">
        <v>1343.0</v>
      </c>
      <c r="B1344" s="1">
        <v>31.0</v>
      </c>
      <c r="C1344" s="4" t="s">
        <v>56</v>
      </c>
      <c r="D1344" s="38" t="str">
        <f>IFERROR(__xludf.DUMMYFUNCTION("LET(
  words, TRANSPOSE(SPLIT($C1344,""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)"),"! can you please check")</f>
        <v>! can you please check</v>
      </c>
      <c r="E1344" s="39" t="str">
        <f>IFERROR(__xludf.DUMMYFUNCTION("INDEX(SPLIT($C1344,"" ""), ROW()-ROW($E$1340)+1)
"),"you")</f>
        <v>you</v>
      </c>
      <c r="F1344" s="30" t="s">
        <v>18</v>
      </c>
      <c r="G1344" s="2"/>
      <c r="H1344" s="1" t="s">
        <v>0</v>
      </c>
      <c r="I1344" s="2"/>
      <c r="J1344" s="2"/>
      <c r="K1344" s="1" t="s">
        <v>15</v>
      </c>
    </row>
    <row r="1345" ht="15.75" customHeight="1">
      <c r="A1345" s="1">
        <v>1344.0</v>
      </c>
      <c r="B1345" s="1">
        <v>31.0</v>
      </c>
      <c r="C1345" s="4" t="s">
        <v>56</v>
      </c>
      <c r="D1345" s="38" t="str">
        <f>IFERROR(__xludf.DUMMYFUNCTION("LET(
  words, TRANSPOSE(SPLIT($C1345,""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)"),"can you please check kung")</f>
        <v>can you please check kung</v>
      </c>
      <c r="E1345" s="39" t="str">
        <f>IFERROR(__xludf.DUMMYFUNCTION("INDEX(SPLIT($C1345,"" ""), ROW()-ROW($E$1340)+1)
"),"please")</f>
        <v>please</v>
      </c>
      <c r="F1345" s="30" t="s">
        <v>18</v>
      </c>
      <c r="G1345" s="2"/>
      <c r="H1345" s="1" t="s">
        <v>0</v>
      </c>
      <c r="I1345" s="2"/>
      <c r="J1345" s="2"/>
      <c r="K1345" s="1" t="s">
        <v>15</v>
      </c>
    </row>
    <row r="1346" ht="15.75" customHeight="1">
      <c r="A1346" s="1">
        <v>1345.0</v>
      </c>
      <c r="B1346" s="1">
        <v>31.0</v>
      </c>
      <c r="C1346" s="4" t="s">
        <v>56</v>
      </c>
      <c r="D1346" s="38" t="str">
        <f>IFERROR(__xludf.DUMMYFUNCTION("LET(
  words, TRANSPOSE(SPLIT($C1346,""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)"),"you please check kung nag-update")</f>
        <v>you please check kung nag-update</v>
      </c>
      <c r="E1346" s="39" t="str">
        <f>IFERROR(__xludf.DUMMYFUNCTION("INDEX(SPLIT($C1346,"" ""), ROW()-ROW($E$1340)+1)
"),"check")</f>
        <v>check</v>
      </c>
      <c r="F1346" s="30" t="s">
        <v>18</v>
      </c>
      <c r="G1346" s="2"/>
      <c r="H1346" s="1" t="s">
        <v>0</v>
      </c>
      <c r="I1346" s="2"/>
      <c r="J1346" s="2"/>
      <c r="K1346" s="1" t="s">
        <v>15</v>
      </c>
    </row>
    <row r="1347" ht="15.75" customHeight="1">
      <c r="A1347" s="1">
        <v>1346.0</v>
      </c>
      <c r="B1347" s="1">
        <v>31.0</v>
      </c>
      <c r="C1347" s="4" t="s">
        <v>56</v>
      </c>
      <c r="D1347" s="38" t="str">
        <f>IFERROR(__xludf.DUMMYFUNCTION("LET(
  words, TRANSPOSE(SPLIT($C1347,""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)"),"please check kung nag-update na")</f>
        <v>please check kung nag-update na</v>
      </c>
      <c r="E1347" s="39" t="str">
        <f>IFERROR(__xludf.DUMMYFUNCTION("INDEX(SPLIT($C1347,"" ""), ROW()-ROW($E$1340)+1)
"),"kung")</f>
        <v>kung</v>
      </c>
      <c r="F1347" s="30" t="s">
        <v>16</v>
      </c>
      <c r="G1347" s="2"/>
      <c r="H1347" s="1" t="s">
        <v>0</v>
      </c>
      <c r="I1347" s="2"/>
      <c r="J1347" s="2"/>
      <c r="K1347" s="1" t="s">
        <v>15</v>
      </c>
    </row>
    <row r="1348" ht="15.75" customHeight="1">
      <c r="A1348" s="1">
        <v>1347.0</v>
      </c>
      <c r="B1348" s="1">
        <v>31.0</v>
      </c>
      <c r="C1348" s="4" t="s">
        <v>56</v>
      </c>
      <c r="D1348" s="38" t="str">
        <f>IFERROR(__xludf.DUMMYFUNCTION("LET(
  words, TRANSPOSE(SPLIT($C1348,""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)"),"check kung nag-update na ulet")</f>
        <v>check kung nag-update na ulet</v>
      </c>
      <c r="E1348" s="39" t="str">
        <f>IFERROR(__xludf.DUMMYFUNCTION("INDEX(SPLIT($C1348,"" ""), ROW()-ROW($E$1340)+1)
"),"nag-update")</f>
        <v>nag-update</v>
      </c>
      <c r="F1348" s="30" t="s">
        <v>23</v>
      </c>
      <c r="G1348" s="2"/>
      <c r="H1348" s="1" t="s">
        <v>0</v>
      </c>
      <c r="I1348" s="2"/>
      <c r="J1348" s="2"/>
      <c r="K1348" s="1" t="s">
        <v>15</v>
      </c>
    </row>
    <row r="1349" ht="15.75" customHeight="1">
      <c r="A1349" s="1">
        <v>1348.0</v>
      </c>
      <c r="B1349" s="1">
        <v>31.0</v>
      </c>
      <c r="C1349" s="4" t="s">
        <v>56</v>
      </c>
      <c r="D1349" s="38" t="str">
        <f>IFERROR(__xludf.DUMMYFUNCTION("LET(
  words, TRANSPOSE(SPLIT($C1349,""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)"),"kung nag-update na ulet yung")</f>
        <v>kung nag-update na ulet yung</v>
      </c>
      <c r="E1349" s="39" t="str">
        <f>IFERROR(__xludf.DUMMYFUNCTION("INDEX(SPLIT($C1349,"" ""), ROW()-ROW($E$1340)+1)
"),"na")</f>
        <v>na</v>
      </c>
      <c r="F1349" s="30" t="s">
        <v>16</v>
      </c>
      <c r="G1349" s="2"/>
      <c r="H1349" s="1" t="s">
        <v>0</v>
      </c>
      <c r="I1349" s="2"/>
      <c r="J1349" s="2"/>
      <c r="K1349" s="1" t="s">
        <v>15</v>
      </c>
    </row>
    <row r="1350" ht="15.75" customHeight="1">
      <c r="A1350" s="1">
        <v>1349.0</v>
      </c>
      <c r="B1350" s="1">
        <v>31.0</v>
      </c>
      <c r="C1350" s="4" t="s">
        <v>56</v>
      </c>
      <c r="D1350" s="38" t="str">
        <f>IFERROR(__xludf.DUMMYFUNCTION("LET(
  words, TRANSPOSE(SPLIT($C1350,""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)"),"nag-update na ulet yung submission")</f>
        <v>nag-update na ulet yung submission</v>
      </c>
      <c r="E1350" s="39" t="str">
        <f>IFERROR(__xludf.DUMMYFUNCTION("INDEX(SPLIT($C1350,"" ""), ROW()-ROW($E$1340)+1)
"),"ulet")</f>
        <v>ulet</v>
      </c>
      <c r="F1350" s="30" t="s">
        <v>16</v>
      </c>
      <c r="G1350" s="2"/>
      <c r="H1350" s="1" t="s">
        <v>0</v>
      </c>
      <c r="I1350" s="2"/>
      <c r="J1350" s="2"/>
      <c r="K1350" s="1" t="s">
        <v>15</v>
      </c>
    </row>
    <row r="1351" ht="15.75" customHeight="1">
      <c r="A1351" s="1">
        <v>1350.0</v>
      </c>
      <c r="B1351" s="1">
        <v>31.0</v>
      </c>
      <c r="C1351" s="4" t="s">
        <v>56</v>
      </c>
      <c r="D1351" s="38" t="str">
        <f>IFERROR(__xludf.DUMMYFUNCTION("LET(
  words, TRANSPOSE(SPLIT($C1351,""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)"),"na ulet yung submission for")</f>
        <v>na ulet yung submission for</v>
      </c>
      <c r="E1351" s="39" t="str">
        <f>IFERROR(__xludf.DUMMYFUNCTION("INDEX(SPLIT($C1351,"" ""), ROW()-ROW($E$1340)+1)
"),"yung")</f>
        <v>yung</v>
      </c>
      <c r="F1351" s="30" t="s">
        <v>16</v>
      </c>
      <c r="G1351" s="2"/>
      <c r="H1351" s="1" t="s">
        <v>0</v>
      </c>
      <c r="I1351" s="2"/>
      <c r="J1351" s="2"/>
      <c r="K1351" s="1" t="s">
        <v>15</v>
      </c>
    </row>
    <row r="1352" ht="15.75" customHeight="1">
      <c r="A1352" s="1">
        <v>1351.0</v>
      </c>
      <c r="B1352" s="1">
        <v>31.0</v>
      </c>
      <c r="C1352" s="4" t="s">
        <v>56</v>
      </c>
      <c r="D1352" s="38" t="str">
        <f>IFERROR(__xludf.DUMMYFUNCTION("LET(
  words, TRANSPOSE(SPLIT($C1352,""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)"),"ulet yung submission for GPEs")</f>
        <v>ulet yung submission for GPEs</v>
      </c>
      <c r="E1352" s="39" t="str">
        <f>IFERROR(__xludf.DUMMYFUNCTION("INDEX(SPLIT($C1352,"" ""), ROW()-ROW($E$1340)+1)
"),"submission")</f>
        <v>submission</v>
      </c>
      <c r="F1352" s="30" t="s">
        <v>18</v>
      </c>
      <c r="G1352" s="2"/>
      <c r="H1352" s="1" t="s">
        <v>0</v>
      </c>
      <c r="I1352" s="2"/>
      <c r="J1352" s="2"/>
      <c r="K1352" s="1" t="s">
        <v>15</v>
      </c>
    </row>
    <row r="1353" ht="15.75" customHeight="1">
      <c r="A1353" s="1">
        <v>1352.0</v>
      </c>
      <c r="B1353" s="1">
        <v>31.0</v>
      </c>
      <c r="C1353" s="4" t="s">
        <v>56</v>
      </c>
      <c r="D1353" s="38" t="str">
        <f>IFERROR(__xludf.DUMMYFUNCTION("LET(
  words, TRANSPOSE(SPLIT($C1353,""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)"),"yung submission for GPEs 3")</f>
        <v>yung submission for GPEs 3</v>
      </c>
      <c r="E1353" s="39" t="str">
        <f>IFERROR(__xludf.DUMMYFUNCTION("INDEX(SPLIT($C1353,"" ""), ROW()-ROW($E$1340)+1)
"),"for")</f>
        <v>for</v>
      </c>
      <c r="F1353" s="30" t="s">
        <v>16</v>
      </c>
      <c r="G1353" s="2"/>
      <c r="H1353" s="1" t="s">
        <v>0</v>
      </c>
      <c r="I1353" s="2"/>
      <c r="J1353" s="2"/>
      <c r="K1353" s="1" t="s">
        <v>15</v>
      </c>
    </row>
    <row r="1354" ht="15.75" customHeight="1">
      <c r="A1354" s="1">
        <v>1353.0</v>
      </c>
      <c r="B1354" s="1">
        <v>31.0</v>
      </c>
      <c r="C1354" s="4" t="s">
        <v>56</v>
      </c>
      <c r="D1354" s="38" t="str">
        <f>IFERROR(__xludf.DUMMYFUNCTION("LET(
  words, TRANSPOSE(SPLIT($C1354,""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)"),"submission for GPEs 3 &amp;")</f>
        <v>submission for GPEs 3 &amp;</v>
      </c>
      <c r="E1354" s="39" t="str">
        <f>IFERROR(__xludf.DUMMYFUNCTION("INDEX(SPLIT($C1354,"" ""), ROW()-ROW($E$1340)+1)
"),"GPEs")</f>
        <v>GPEs</v>
      </c>
      <c r="F1354" s="30" t="s">
        <v>18</v>
      </c>
      <c r="G1354" s="1" t="s">
        <v>31</v>
      </c>
      <c r="H1354" s="1" t="s">
        <v>0</v>
      </c>
      <c r="I1354" s="2"/>
      <c r="J1354" s="2"/>
      <c r="K1354" s="1" t="s">
        <v>15</v>
      </c>
    </row>
    <row r="1355" ht="15.75" customHeight="1">
      <c r="A1355" s="1">
        <v>1354.0</v>
      </c>
      <c r="B1355" s="1">
        <v>31.0</v>
      </c>
      <c r="C1355" s="4" t="s">
        <v>56</v>
      </c>
      <c r="D1355" s="38" t="str">
        <f>IFERROR(__xludf.DUMMYFUNCTION("LET(
  words, TRANSPOSE(SPLIT($C1355,""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)"),"for GPEs 3 &amp; 4")</f>
        <v>for GPEs 3 &amp; 4</v>
      </c>
      <c r="E1355" s="39">
        <f>IFERROR(__xludf.DUMMYFUNCTION("INDEX(SPLIT($C1355,"" ""), ROW()-ROW($E$1340)+1)
"),3.0)</f>
        <v>3</v>
      </c>
      <c r="F1355" s="30" t="s">
        <v>25</v>
      </c>
      <c r="G1355" s="2"/>
      <c r="H1355" s="1" t="s">
        <v>0</v>
      </c>
      <c r="I1355" s="2"/>
      <c r="J1355" s="2"/>
      <c r="K1355" s="1" t="s">
        <v>15</v>
      </c>
    </row>
    <row r="1356" ht="15.75" customHeight="1">
      <c r="A1356" s="1">
        <v>1355.0</v>
      </c>
      <c r="B1356" s="1">
        <v>31.0</v>
      </c>
      <c r="C1356" s="4" t="s">
        <v>56</v>
      </c>
      <c r="D1356" s="38" t="str">
        <f>IFERROR(__xludf.DUMMYFUNCTION("LET(
  words, TRANSPOSE(SPLIT($C1356,""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)"),"GPEs 3 &amp; 4 ?")</f>
        <v>GPEs 3 &amp; 4 ?</v>
      </c>
      <c r="E1356" s="39" t="str">
        <f>IFERROR(__xludf.DUMMYFUNCTION("INDEX(SPLIT($C1356,"" ""), ROW()-ROW($E$1340)+1)
"),"&amp;")</f>
        <v>&amp;</v>
      </c>
      <c r="F1356" s="30" t="s">
        <v>17</v>
      </c>
      <c r="G1356" s="2"/>
      <c r="H1356" s="1" t="s">
        <v>0</v>
      </c>
      <c r="I1356" s="2"/>
      <c r="J1356" s="2"/>
      <c r="K1356" s="1" t="s">
        <v>15</v>
      </c>
    </row>
    <row r="1357" ht="15.75" customHeight="1">
      <c r="A1357" s="1">
        <v>1356.0</v>
      </c>
      <c r="B1357" s="1">
        <v>31.0</v>
      </c>
      <c r="C1357" s="4" t="s">
        <v>56</v>
      </c>
      <c r="D1357" s="38" t="str">
        <f>IFERROR(__xludf.DUMMYFUNCTION("LET(
  words, TRANSPOSE(SPLIT($C1357,""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)"),"3 &amp; 4 ? pina-follow")</f>
        <v>3 &amp; 4 ? pina-follow</v>
      </c>
      <c r="E1357" s="39">
        <f>IFERROR(__xludf.DUMMYFUNCTION("INDEX(SPLIT($C1357,"" ""), ROW()-ROW($E$1340)+1)
"),4.0)</f>
        <v>4</v>
      </c>
      <c r="F1357" s="30" t="s">
        <v>25</v>
      </c>
      <c r="G1357" s="2"/>
      <c r="H1357" s="1" t="s">
        <v>0</v>
      </c>
      <c r="I1357" s="2"/>
      <c r="J1357" s="2"/>
      <c r="K1357" s="1" t="s">
        <v>15</v>
      </c>
    </row>
    <row r="1358" ht="15.75" customHeight="1">
      <c r="A1358" s="1">
        <v>1357.0</v>
      </c>
      <c r="B1358" s="1">
        <v>31.0</v>
      </c>
      <c r="C1358" s="4" t="s">
        <v>56</v>
      </c>
      <c r="D1358" s="38" t="str">
        <f>IFERROR(__xludf.DUMMYFUNCTION("LET(
  words, TRANSPOSE(SPLIT($C1358,""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)"),"&amp; 4 ? pina-follow up")</f>
        <v>&amp; 4 ? pina-follow up</v>
      </c>
      <c r="E1358" s="39" t="str">
        <f>IFERROR(__xludf.DUMMYFUNCTION("INDEX(SPLIT($C1358,"" ""), ROW()-ROW($E$1340)+1)
"),"?")</f>
        <v>?</v>
      </c>
      <c r="F1358" s="30" t="s">
        <v>17</v>
      </c>
      <c r="G1358" s="2"/>
      <c r="H1358" s="1" t="s">
        <v>0</v>
      </c>
      <c r="I1358" s="2"/>
      <c r="J1358" s="2"/>
      <c r="K1358" s="1" t="s">
        <v>15</v>
      </c>
    </row>
    <row r="1359" ht="15.75" customHeight="1">
      <c r="A1359" s="1">
        <v>1358.0</v>
      </c>
      <c r="B1359" s="1">
        <v>31.0</v>
      </c>
      <c r="C1359" s="4" t="s">
        <v>56</v>
      </c>
      <c r="D1359" s="38" t="str">
        <f>IFERROR(__xludf.DUMMYFUNCTION("LET(
  words, TRANSPOSE(SPLIT($C1359,""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)"),"4 ? pina-follow up ko")</f>
        <v>4 ? pina-follow up ko</v>
      </c>
      <c r="E1359" s="39" t="str">
        <f>IFERROR(__xludf.DUMMYFUNCTION("INDEX(SPLIT($C1359,"" ""), ROW()-ROW($E$1340)+1)
"),"pina-follow")</f>
        <v>pina-follow</v>
      </c>
      <c r="F1359" s="30" t="s">
        <v>23</v>
      </c>
      <c r="G1359" s="2"/>
      <c r="H1359" s="1" t="s">
        <v>0</v>
      </c>
      <c r="I1359" s="2"/>
      <c r="J1359" s="2"/>
      <c r="K1359" s="1" t="s">
        <v>15</v>
      </c>
    </row>
    <row r="1360" ht="15.75" customHeight="1">
      <c r="A1360" s="1">
        <v>1359.0</v>
      </c>
      <c r="B1360" s="1">
        <v>31.0</v>
      </c>
      <c r="C1360" s="4" t="s">
        <v>56</v>
      </c>
      <c r="D1360" s="38" t="str">
        <f>IFERROR(__xludf.DUMMYFUNCTION("LET(
  words, TRANSPOSE(SPLIT($C1360,""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)"),"? pina-follow up ko kasi")</f>
        <v>? pina-follow up ko kasi</v>
      </c>
      <c r="E1360" s="39" t="str">
        <f>IFERROR(__xludf.DUMMYFUNCTION("INDEX(SPLIT($C1360,"" ""), ROW()-ROW($E$1340)+1)
"),"up")</f>
        <v>up</v>
      </c>
      <c r="F1360" s="30" t="s">
        <v>16</v>
      </c>
      <c r="G1360" s="2"/>
      <c r="H1360" s="1" t="s">
        <v>0</v>
      </c>
      <c r="I1360" s="2"/>
      <c r="J1360" s="2"/>
      <c r="K1360" s="1" t="s">
        <v>15</v>
      </c>
    </row>
    <row r="1361" ht="15.75" customHeight="1">
      <c r="A1361" s="1">
        <v>1360.0</v>
      </c>
      <c r="B1361" s="1">
        <v>31.0</v>
      </c>
      <c r="C1361" s="4" t="s">
        <v>56</v>
      </c>
      <c r="D1361" s="38" t="str">
        <f>IFERROR(__xludf.DUMMYFUNCTION("LET(
  words, TRANSPOSE(SPLIT($C1361,""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)"),"pina-follow up ko kasi since")</f>
        <v>pina-follow up ko kasi since</v>
      </c>
      <c r="E1361" s="39" t="str">
        <f>IFERROR(__xludf.DUMMYFUNCTION("INDEX(SPLIT($C1361,"" ""), ROW()-ROW($E$1340)+1)
"),"ko")</f>
        <v>ko</v>
      </c>
      <c r="F1361" s="30" t="s">
        <v>16</v>
      </c>
      <c r="G1361" s="2"/>
      <c r="H1361" s="1" t="s">
        <v>0</v>
      </c>
      <c r="I1361" s="2"/>
      <c r="J1361" s="2"/>
      <c r="K1361" s="1" t="s">
        <v>15</v>
      </c>
    </row>
    <row r="1362" ht="15.75" customHeight="1">
      <c r="A1362" s="1">
        <v>1361.0</v>
      </c>
      <c r="B1362" s="1">
        <v>31.0</v>
      </c>
      <c r="C1362" s="4" t="s">
        <v>56</v>
      </c>
      <c r="D1362" s="38" t="str">
        <f>IFERROR(__xludf.DUMMYFUNCTION("LET(
  words, TRANSPOSE(SPLIT($C1362,""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)"),"up ko kasi since di")</f>
        <v>up ko kasi since di</v>
      </c>
      <c r="E1362" s="39" t="str">
        <f>IFERROR(__xludf.DUMMYFUNCTION("INDEX(SPLIT($C1362,"" ""), ROW()-ROW($E$1340)+1)
"),"kasi")</f>
        <v>kasi</v>
      </c>
      <c r="F1362" s="30" t="s">
        <v>16</v>
      </c>
      <c r="G1362" s="2"/>
      <c r="H1362" s="1" t="s">
        <v>0</v>
      </c>
      <c r="I1362" s="2"/>
      <c r="J1362" s="2"/>
      <c r="K1362" s="1" t="s">
        <v>15</v>
      </c>
    </row>
    <row r="1363" ht="15.75" customHeight="1">
      <c r="A1363" s="1">
        <v>1362.0</v>
      </c>
      <c r="B1363" s="1">
        <v>31.0</v>
      </c>
      <c r="C1363" s="4" t="s">
        <v>56</v>
      </c>
      <c r="D1363" s="38" t="str">
        <f>IFERROR(__xludf.DUMMYFUNCTION("LET(
  words, TRANSPOSE(SPLIT($C1363,""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)"),"ko kasi since di pa")</f>
        <v>ko kasi since di pa</v>
      </c>
      <c r="E1363" s="39" t="str">
        <f>IFERROR(__xludf.DUMMYFUNCTION("INDEX(SPLIT($C1363,"" ""), ROW()-ROW($E$1340)+1)
"),"since")</f>
        <v>since</v>
      </c>
      <c r="F1363" s="30" t="s">
        <v>18</v>
      </c>
      <c r="G1363" s="2"/>
      <c r="H1363" s="1" t="s">
        <v>0</v>
      </c>
      <c r="I1363" s="2"/>
      <c r="J1363" s="2"/>
      <c r="K1363" s="1" t="s">
        <v>15</v>
      </c>
    </row>
    <row r="1364" ht="15.75" customHeight="1">
      <c r="A1364" s="1">
        <v>1363.0</v>
      </c>
      <c r="B1364" s="1">
        <v>31.0</v>
      </c>
      <c r="C1364" s="4" t="s">
        <v>56</v>
      </c>
      <c r="D1364" s="38" t="str">
        <f>IFERROR(__xludf.DUMMYFUNCTION("LET(
  words, TRANSPOSE(SPLIT($C1364,""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)"),"kasi since di pa inupdate")</f>
        <v>kasi since di pa inupdate</v>
      </c>
      <c r="E1364" s="39" t="str">
        <f>IFERROR(__xludf.DUMMYFUNCTION("INDEX(SPLIT($C1364,"" ""), ROW()-ROW($E$1340)+1)
"),"di")</f>
        <v>di</v>
      </c>
      <c r="F1364" s="30" t="s">
        <v>16</v>
      </c>
      <c r="G1364" s="1" t="s">
        <v>19</v>
      </c>
      <c r="H1364" s="1" t="s">
        <v>0</v>
      </c>
      <c r="I1364" s="2"/>
      <c r="J1364" s="2"/>
      <c r="K1364" s="1" t="s">
        <v>15</v>
      </c>
    </row>
    <row r="1365" ht="15.75" customHeight="1">
      <c r="A1365" s="1">
        <v>1364.0</v>
      </c>
      <c r="B1365" s="1">
        <v>31.0</v>
      </c>
      <c r="C1365" s="4" t="s">
        <v>56</v>
      </c>
      <c r="D1365" s="38" t="str">
        <f>IFERROR(__xludf.DUMMYFUNCTION("LET(
  words, TRANSPOSE(SPLIT($C1365,""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)"),"since di pa inupdate and")</f>
        <v>since di pa inupdate and</v>
      </c>
      <c r="E1365" s="39" t="str">
        <f>IFERROR(__xludf.DUMMYFUNCTION("INDEX(SPLIT($C1365,"" ""), ROW()-ROW($E$1340)+1)
"),"pa")</f>
        <v>pa</v>
      </c>
      <c r="F1365" s="30" t="s">
        <v>16</v>
      </c>
      <c r="G1365" s="2"/>
      <c r="H1365" s="1" t="s">
        <v>0</v>
      </c>
      <c r="I1365" s="2"/>
      <c r="J1365" s="2"/>
      <c r="K1365" s="1" t="s">
        <v>15</v>
      </c>
    </row>
    <row r="1366" ht="15.75" customHeight="1">
      <c r="A1366" s="1">
        <v>1365.0</v>
      </c>
      <c r="B1366" s="1">
        <v>31.0</v>
      </c>
      <c r="C1366" s="4" t="s">
        <v>56</v>
      </c>
      <c r="D1366" s="38" t="str">
        <f>IFERROR(__xludf.DUMMYFUNCTION("LET(
  words, TRANSPOSE(SPLIT($C1366,""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)"),"di pa inupdate and also")</f>
        <v>di pa inupdate and also</v>
      </c>
      <c r="E1366" s="39" t="str">
        <f>IFERROR(__xludf.DUMMYFUNCTION("INDEX(SPLIT($C1366,"" ""), ROW()-ROW($E$1340)+1)
"),"inupdate")</f>
        <v>inupdate</v>
      </c>
      <c r="F1366" s="30" t="s">
        <v>23</v>
      </c>
      <c r="G1366" s="2"/>
      <c r="H1366" s="1" t="s">
        <v>0</v>
      </c>
      <c r="I1366" s="2"/>
      <c r="J1366" s="2"/>
      <c r="K1366" s="1" t="s">
        <v>15</v>
      </c>
    </row>
    <row r="1367" ht="15.75" customHeight="1">
      <c r="A1367" s="1">
        <v>1366.0</v>
      </c>
      <c r="B1367" s="1">
        <v>31.0</v>
      </c>
      <c r="C1367" s="4" t="s">
        <v>56</v>
      </c>
      <c r="D1367" s="38" t="str">
        <f>IFERROR(__xludf.DUMMYFUNCTION("LET(
  words, TRANSPOSE(SPLIT($C1367,""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)"),"pa inupdate and also nagkaroon")</f>
        <v>pa inupdate and also nagkaroon</v>
      </c>
      <c r="E1367" s="39" t="str">
        <f>IFERROR(__xludf.DUMMYFUNCTION("INDEX(SPLIT($C1367,"" ""), ROW()-ROW($E$1340)+1)
"),"and")</f>
        <v>and</v>
      </c>
      <c r="F1367" s="30" t="s">
        <v>18</v>
      </c>
      <c r="G1367" s="2"/>
      <c r="H1367" s="1" t="s">
        <v>0</v>
      </c>
      <c r="I1367" s="2"/>
      <c r="J1367" s="2"/>
      <c r="K1367" s="1" t="s">
        <v>15</v>
      </c>
    </row>
    <row r="1368" ht="15.75" customHeight="1">
      <c r="A1368" s="1">
        <v>1367.0</v>
      </c>
      <c r="B1368" s="1">
        <v>31.0</v>
      </c>
      <c r="C1368" s="4" t="s">
        <v>56</v>
      </c>
      <c r="D1368" s="38" t="str">
        <f>IFERROR(__xludf.DUMMYFUNCTION("LET(
  words, TRANSPOSE(SPLIT($C1368,""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)"),"inupdate and also nagkaroon ng")</f>
        <v>inupdate and also nagkaroon ng</v>
      </c>
      <c r="E1368" s="39" t="str">
        <f>IFERROR(__xludf.DUMMYFUNCTION("INDEX(SPLIT($C1368,"" ""), ROW()-ROW($E$1340)+1)
"),"also")</f>
        <v>also</v>
      </c>
      <c r="F1368" s="30" t="s">
        <v>18</v>
      </c>
      <c r="G1368" s="2"/>
      <c r="H1368" s="1" t="s">
        <v>0</v>
      </c>
      <c r="I1368" s="2"/>
      <c r="J1368" s="2"/>
      <c r="K1368" s="1" t="s">
        <v>15</v>
      </c>
    </row>
    <row r="1369" ht="15.75" customHeight="1">
      <c r="A1369" s="1">
        <v>1368.0</v>
      </c>
      <c r="B1369" s="1">
        <v>31.0</v>
      </c>
      <c r="C1369" s="4" t="s">
        <v>56</v>
      </c>
      <c r="D1369" s="38" t="str">
        <f>IFERROR(__xludf.DUMMYFUNCTION("LET(
  words, TRANSPOSE(SPLIT($C1369,""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)"),"and also nagkaroon ng correction")</f>
        <v>and also nagkaroon ng correction</v>
      </c>
      <c r="E1369" s="39" t="str">
        <f>IFERROR(__xludf.DUMMYFUNCTION("INDEX(SPLIT($C1369,"" ""), ROW()-ROW($E$1340)+1)
"),"nagkaroon")</f>
        <v>nagkaroon</v>
      </c>
      <c r="F1369" s="30" t="s">
        <v>16</v>
      </c>
      <c r="G1369" s="2"/>
      <c r="H1369" s="1" t="s">
        <v>0</v>
      </c>
      <c r="I1369" s="2"/>
      <c r="J1369" s="2"/>
      <c r="K1369" s="1" t="s">
        <v>15</v>
      </c>
    </row>
    <row r="1370" ht="15.75" customHeight="1">
      <c r="A1370" s="1">
        <v>1369.0</v>
      </c>
      <c r="B1370" s="1">
        <v>31.0</v>
      </c>
      <c r="C1370" s="4" t="s">
        <v>56</v>
      </c>
      <c r="D1370" s="38" t="str">
        <f>IFERROR(__xludf.DUMMYFUNCTION("LET(
  words, TRANSPOSE(SPLIT($C1370,""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)"),"also nagkaroon ng correction sa")</f>
        <v>also nagkaroon ng correction sa</v>
      </c>
      <c r="E1370" s="39" t="str">
        <f>IFERROR(__xludf.DUMMYFUNCTION("INDEX(SPLIT($C1370,"" ""), ROW()-ROW($E$1340)+1)
"),"ng")</f>
        <v>ng</v>
      </c>
      <c r="F1370" s="30" t="s">
        <v>16</v>
      </c>
      <c r="G1370" s="2"/>
      <c r="H1370" s="1" t="s">
        <v>0</v>
      </c>
      <c r="I1370" s="2"/>
      <c r="J1370" s="2"/>
      <c r="K1370" s="1" t="s">
        <v>15</v>
      </c>
    </row>
    <row r="1371" ht="15.75" customHeight="1">
      <c r="A1371" s="1">
        <v>1370.0</v>
      </c>
      <c r="B1371" s="1">
        <v>31.0</v>
      </c>
      <c r="C1371" s="4" t="s">
        <v>56</v>
      </c>
      <c r="D1371" s="38" t="str">
        <f>IFERROR(__xludf.DUMMYFUNCTION("LET(
  words, TRANSPOSE(SPLIT($C1371,""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)"),"nagkaroon ng correction sa submission")</f>
        <v>nagkaroon ng correction sa submission</v>
      </c>
      <c r="E1371" s="39" t="str">
        <f>IFERROR(__xludf.DUMMYFUNCTION("INDEX(SPLIT($C1371,"" ""), ROW()-ROW($E$1340)+1)
"),"correction")</f>
        <v>correction</v>
      </c>
      <c r="F1371" s="30" t="s">
        <v>18</v>
      </c>
      <c r="G1371" s="2"/>
      <c r="H1371" s="1" t="s">
        <v>0</v>
      </c>
      <c r="I1371" s="2"/>
      <c r="J1371" s="2"/>
      <c r="K1371" s="1" t="s">
        <v>15</v>
      </c>
    </row>
    <row r="1372" ht="15.75" customHeight="1">
      <c r="A1372" s="1">
        <v>1371.0</v>
      </c>
      <c r="B1372" s="1">
        <v>31.0</v>
      </c>
      <c r="C1372" s="4" t="s">
        <v>56</v>
      </c>
      <c r="D1372" s="38" t="str">
        <f>IFERROR(__xludf.DUMMYFUNCTION("LET(
  words, TRANSPOSE(SPLIT($C1372,""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)"),"ng correction sa submission")</f>
        <v>ng correction sa submission</v>
      </c>
      <c r="E1372" s="39" t="str">
        <f>IFERROR(__xludf.DUMMYFUNCTION("INDEX(SPLIT($C1372,"" ""), ROW()-ROW($E$1340)+1)
"),"sa")</f>
        <v>sa</v>
      </c>
      <c r="F1372" s="30" t="s">
        <v>16</v>
      </c>
      <c r="G1372" s="2"/>
      <c r="H1372" s="1" t="s">
        <v>0</v>
      </c>
      <c r="I1372" s="2"/>
      <c r="J1372" s="2"/>
      <c r="K1372" s="1" t="s">
        <v>15</v>
      </c>
    </row>
    <row r="1373" ht="15.75" customHeight="1">
      <c r="A1373" s="1">
        <v>1372.0</v>
      </c>
      <c r="B1373" s="1">
        <v>31.0</v>
      </c>
      <c r="C1373" s="4" t="s">
        <v>56</v>
      </c>
      <c r="D1373" s="38" t="str">
        <f>IFERROR(__xludf.DUMMYFUNCTION("LET(
  words, TRANSPOSE(SPLIT($C1373,"" "")),
  n, ROWS(words),
  i, ROW() - ROW($D$1340) + 1,
  window, 5,
  minWin, 3,
  half, INT(window/2),
  start, MAX(1, i - half),
  stop, MIN(n, i + half),
  size, stop - start + 1,
  adjHalf, IF(size &lt; minWin, INT"&amp;"((minWin - size)/2), 0),
  newStart, MAX(1, start - adjHalf),
  newStop, MIN(n, stop + adjHalf),
  positions, SEQUENCE(n),
  wordSlice, FILTER(words, (positions&gt;=newStart)*(positions&lt;=newStop)),
  TEXTJOIN("" "", TRUE, wordSlice)
)"),"correction sa submission")</f>
        <v>correction sa submission</v>
      </c>
      <c r="E1373" s="39" t="str">
        <f>IFERROR(__xludf.DUMMYFUNCTION("INDEX(SPLIT($C1373,"" ""), ROW()-ROW($E$1340)+1)
"),"submission")</f>
        <v>submission</v>
      </c>
      <c r="F1373" s="30" t="s">
        <v>18</v>
      </c>
      <c r="G1373" s="2"/>
      <c r="H1373" s="1" t="s">
        <v>0</v>
      </c>
      <c r="I1373" s="2"/>
      <c r="J1373" s="2"/>
      <c r="K1373" s="1" t="s">
        <v>15</v>
      </c>
    </row>
    <row r="1374" ht="15.75" customHeight="1">
      <c r="A1374" s="1"/>
      <c r="B1374" s="1"/>
      <c r="C1374" s="4"/>
      <c r="D1374" s="38"/>
      <c r="E1374" s="39"/>
      <c r="F1374" s="30"/>
      <c r="G1374" s="2"/>
      <c r="H1374" s="1"/>
      <c r="I1374" s="2"/>
      <c r="J1374" s="2"/>
      <c r="K1374" s="1"/>
      <c r="L1374" s="2"/>
    </row>
  </sheetData>
  <conditionalFormatting sqref="I2:I1374">
    <cfRule type="expression" dxfId="0" priority="1">
      <formula>OR(H2="", LOWER(H2)="false", LOWER(H2)="f")</formula>
    </cfRule>
  </conditionalFormatting>
  <conditionalFormatting sqref="I2:I1374">
    <cfRule type="expression" dxfId="1" priority="2" stopIfTrue="1">
      <formula>I2="FIL"</formula>
    </cfRule>
  </conditionalFormatting>
  <conditionalFormatting sqref="I2:I1374">
    <cfRule type="expression" dxfId="2" priority="3" stopIfTrue="1">
      <formula>I2="ENG"</formula>
    </cfRule>
  </conditionalFormatting>
  <conditionalFormatting sqref="I2:I1374">
    <cfRule type="expression" dxfId="3" priority="4" stopIfTrue="1">
      <formula>I2="CS"</formula>
    </cfRule>
  </conditionalFormatting>
  <conditionalFormatting sqref="I2:I1374">
    <cfRule type="expression" dxfId="4" priority="5" stopIfTrue="1">
      <formula>I2="SYM"</formula>
    </cfRule>
  </conditionalFormatting>
  <conditionalFormatting sqref="I2:I1374">
    <cfRule type="expression" dxfId="5" priority="6" stopIfTrue="1">
      <formula>I2="UNK"</formula>
    </cfRule>
  </conditionalFormatting>
  <conditionalFormatting sqref="I2:I1374">
    <cfRule type="expression" dxfId="6" priority="7" stopIfTrue="1">
      <formula>I2="NUM"</formula>
    </cfRule>
  </conditionalFormatting>
  <conditionalFormatting sqref="J2:J1374">
    <cfRule type="expression" dxfId="0" priority="8">
      <formula>OR(H2="", LOWER(H2)="false", LOWER(H2)="f")</formula>
    </cfRule>
  </conditionalFormatting>
  <conditionalFormatting sqref="J2:J1374">
    <cfRule type="expression" dxfId="7" priority="9" stopIfTrue="1">
      <formula>J2="NE"</formula>
    </cfRule>
  </conditionalFormatting>
  <conditionalFormatting sqref="J2:J1374">
    <cfRule type="expression" dxfId="8" priority="10" stopIfTrue="1">
      <formula>J2="ABB"</formula>
    </cfRule>
  </conditionalFormatting>
  <conditionalFormatting sqref="J2:J1374">
    <cfRule type="expression" dxfId="9" priority="11" stopIfTrue="1">
      <formula>J2="EXPR"</formula>
    </cfRule>
  </conditionalFormatting>
  <conditionalFormatting sqref="J2:J1374">
    <cfRule type="expression" dxfId="10" priority="12" stopIfTrue="1">
      <formula>J2="ABB_NE"</formula>
    </cfRule>
  </conditionalFormatting>
  <conditionalFormatting sqref="J2:J1374">
    <cfRule type="expression" dxfId="11" priority="13" stopIfTrue="1">
      <formula>J2="ABB_EXPR"</formula>
    </cfRule>
  </conditionalFormatting>
  <conditionalFormatting sqref="K2:K1374">
    <cfRule type="expression" dxfId="0" priority="14">
      <formula>OR(H2="", LOWER(H2)="false", LOWER(H2)="f")</formula>
    </cfRule>
  </conditionalFormatting>
  <conditionalFormatting sqref="L2:L1374">
    <cfRule type="expression" dxfId="0" priority="15">
      <formula>OR(H2="", LOWER(H2)="false", LOWER(H2)="f")</formula>
    </cfRule>
  </conditionalFormatting>
  <conditionalFormatting sqref="F2:F1374">
    <cfRule type="expression" dxfId="1" priority="16" stopIfTrue="1">
      <formula>F2="FIL"</formula>
    </cfRule>
  </conditionalFormatting>
  <conditionalFormatting sqref="F2:F1374">
    <cfRule type="expression" dxfId="2" priority="17" stopIfTrue="1">
      <formula>F2="ENG"</formula>
    </cfRule>
  </conditionalFormatting>
  <conditionalFormatting sqref="F2:F1374">
    <cfRule type="expression" dxfId="3" priority="18" stopIfTrue="1">
      <formula>F2="CS"</formula>
    </cfRule>
  </conditionalFormatting>
  <conditionalFormatting sqref="F2:F1374">
    <cfRule type="expression" dxfId="4" priority="19" stopIfTrue="1">
      <formula>F2="SYM"</formula>
    </cfRule>
  </conditionalFormatting>
  <conditionalFormatting sqref="F2:F1374">
    <cfRule type="expression" dxfId="5" priority="20" stopIfTrue="1">
      <formula>F2="UNK"</formula>
    </cfRule>
  </conditionalFormatting>
  <conditionalFormatting sqref="F2:F1374">
    <cfRule type="expression" dxfId="6" priority="21" stopIfTrue="1">
      <formula>F2="NUM"</formula>
    </cfRule>
  </conditionalFormatting>
  <conditionalFormatting sqref="G2:G1374">
    <cfRule type="expression" dxfId="7" priority="22" stopIfTrue="1">
      <formula>G2="NE"</formula>
    </cfRule>
  </conditionalFormatting>
  <conditionalFormatting sqref="G2:G1374">
    <cfRule type="expression" dxfId="8" priority="23" stopIfTrue="1">
      <formula>G2="ABB"</formula>
    </cfRule>
  </conditionalFormatting>
  <conditionalFormatting sqref="G2:G1374">
    <cfRule type="expression" dxfId="9" priority="24" stopIfTrue="1">
      <formula>G2="EXPR"</formula>
    </cfRule>
  </conditionalFormatting>
  <conditionalFormatting sqref="G2:G1374">
    <cfRule type="expression" dxfId="10" priority="25" stopIfTrue="1">
      <formula>G2="ABB_NE"</formula>
    </cfRule>
  </conditionalFormatting>
  <conditionalFormatting sqref="G2:G1374">
    <cfRule type="expression" dxfId="11" priority="26" stopIfTrue="1">
      <formula>G2="ABB_EXPR"</formula>
    </cfRule>
  </conditionalFormatting>
  <dataValidations>
    <dataValidation type="list" allowBlank="1" sqref="F2:F1374 I2:I1374">
      <formula1>"FIL,ENG,CS,SYM,UNK,NUM"</formula1>
    </dataValidation>
    <dataValidation type="list" allowBlank="1" sqref="G2:G1374 J2:J1374">
      <formula1>"NE,ABB,EXPR,ABB_NE,ABB_EXPR"</formula1>
    </dataValidation>
    <dataValidation type="list" allowBlank="1" sqref="H2:H1374 K2:K1374">
      <formula1>"T,F,TRUE,FALSE"</formula1>
    </dataValidation>
  </dataValidations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2025-10-05T11:39:27Z</dcterms:created>
  <dc:creator>openpyxl</dc:creator>
</cp:coreProperties>
</file>